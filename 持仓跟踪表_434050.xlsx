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前持仓" sheetId="1" state="visible" r:id="rId1"/>
    <sheet xmlns:r="http://schemas.openxmlformats.org/officeDocument/2006/relationships" name="稳健版目标持仓" sheetId="2" state="visible" r:id="rId2"/>
    <sheet xmlns:r="http://schemas.openxmlformats.org/officeDocument/2006/relationships" name="激进版目标持仓" sheetId="3" state="visible" r:id="rId3"/>
    <sheet xmlns:r="http://schemas.openxmlformats.org/officeDocument/2006/relationships" name="每日监控" sheetId="4" state="visible" r:id="rId4"/>
    <sheet xmlns:r="http://schemas.openxmlformats.org/officeDocument/2006/relationships" name="情景压力测试" sheetId="5" state="visible" r:id="rId5"/>
    <sheet xmlns:r="http://schemas.openxmlformats.org/officeDocument/2006/relationships" name="使用说明" sheetId="6" state="visible" r:id="rId6"/>
    <sheet xmlns:r="http://schemas.openxmlformats.org/officeDocument/2006/relationships" name="数据更新日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165" fontId="0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0" fillId="0" borderId="0" pivotButton="0" quotePrefix="0" xfId="0"/>
    <xf numFmtId="165" fontId="0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A股持仓跟踪表 — 当前持仓（优化前）</t>
        </is>
      </c>
    </row>
    <row r="2">
      <c r="A2" t="inlineStr">
        <is>
          <t>数据更新：2026-07-19 06:52  |  行情日期：2026-07-19  |  账户总市值：</t>
        </is>
      </c>
      <c r="K2" s="2">
        <f>SUM(G5:G15)</f>
        <v/>
      </c>
      <c r="L2" t="inlineStr">
        <is>
          <t>元</t>
        </is>
      </c>
    </row>
    <row r="4">
      <c r="A4" s="3" t="inlineStr">
        <is>
          <t>序号</t>
        </is>
      </c>
      <c r="B4" s="3" t="inlineStr">
        <is>
          <t>标的</t>
        </is>
      </c>
      <c r="C4" s="3" t="inlineStr">
        <is>
          <t>代码</t>
        </is>
      </c>
      <c r="D4" s="3" t="inlineStr">
        <is>
          <t>持股数量</t>
        </is>
      </c>
      <c r="E4" s="3" t="inlineStr">
        <is>
          <t>成本价</t>
        </is>
      </c>
      <c r="F4" s="3" t="inlineStr">
        <is>
          <t>现价</t>
        </is>
      </c>
      <c r="G4" s="3" t="inlineStr">
        <is>
          <t>市值(元)</t>
        </is>
      </c>
      <c r="H4" s="3" t="inlineStr">
        <is>
          <t>占比</t>
        </is>
      </c>
      <c r="I4" s="3" t="inlineStr">
        <is>
          <t>累计盈亏(元)</t>
        </is>
      </c>
      <c r="J4" s="3" t="inlineStr">
        <is>
          <t>累计盈亏%</t>
        </is>
      </c>
      <c r="K4" s="3" t="inlineStr">
        <is>
          <t>当日涨跌%</t>
        </is>
      </c>
      <c r="L4" s="3" t="inlineStr">
        <is>
          <t>止损价</t>
        </is>
      </c>
      <c r="M4" s="3" t="inlineStr">
        <is>
          <t>止盈价</t>
        </is>
      </c>
      <c r="N4" s="3" t="inlineStr">
        <is>
          <t>备注</t>
        </is>
      </c>
    </row>
    <row r="5">
      <c r="A5" s="4" t="n">
        <v>1</v>
      </c>
      <c r="B5" s="4" t="inlineStr">
        <is>
          <t>科创芯片ETF</t>
        </is>
      </c>
      <c r="C5" s="4" t="inlineStr">
        <is>
          <t>588810</t>
        </is>
      </c>
      <c r="D5" s="5" t="n">
        <v>26100</v>
      </c>
      <c r="E5" s="19" t="n">
        <v>1.905</v>
      </c>
      <c r="F5" s="19" t="n">
        <v>2.557</v>
      </c>
      <c r="G5" s="5">
        <f>D5*F5</f>
        <v/>
      </c>
      <c r="H5" s="20">
        <f>G5/$K$2</f>
        <v/>
      </c>
      <c r="I5" s="5">
        <f>(F5-E5)*D5</f>
        <v/>
      </c>
      <c r="J5" s="20">
        <f>IF(E5=0,0,(F5-E5)/E5)</f>
        <v/>
      </c>
      <c r="K5" s="8" t="n">
        <v>-0.0819</v>
      </c>
      <c r="L5" s="9" t="n">
        <v>2.2</v>
      </c>
      <c r="M5" s="9" t="n">
        <v>2.8</v>
      </c>
      <c r="N5" s="10" t="inlineStr">
        <is>
          <t>持有</t>
        </is>
      </c>
    </row>
    <row r="6">
      <c r="A6" s="4" t="n">
        <v>2</v>
      </c>
      <c r="B6" s="4" t="inlineStr">
        <is>
          <t>AI智能ETF</t>
        </is>
      </c>
      <c r="C6" s="4" t="inlineStr">
        <is>
          <t>159819</t>
        </is>
      </c>
      <c r="D6" s="5" t="n">
        <v>32500</v>
      </c>
      <c r="E6" s="19" t="n">
        <v>1.5</v>
      </c>
      <c r="F6" s="19" t="n">
        <v>1.82</v>
      </c>
      <c r="G6" s="5">
        <f>D6*F6</f>
        <v/>
      </c>
      <c r="H6" s="20">
        <f>G6/$K$2</f>
        <v/>
      </c>
      <c r="I6" s="5">
        <f>(F6-E6)*D6</f>
        <v/>
      </c>
      <c r="J6" s="20">
        <f>IF(E6=0,0,(F6-E6)/E6)</f>
        <v/>
      </c>
      <c r="K6" s="8" t="n">
        <v>-0.0808</v>
      </c>
      <c r="L6" s="9" t="n">
        <v>1.6</v>
      </c>
      <c r="M6" s="9" t="n">
        <v>1.95</v>
      </c>
      <c r="N6" s="10" t="inlineStr">
        <is>
          <t>持有</t>
        </is>
      </c>
    </row>
    <row r="7">
      <c r="A7" s="4" t="n">
        <v>3</v>
      </c>
      <c r="B7" s="4" t="inlineStr">
        <is>
          <t>东山精密</t>
        </is>
      </c>
      <c r="C7" s="4" t="inlineStr">
        <is>
          <t>002384</t>
        </is>
      </c>
      <c r="D7" s="5" t="n">
        <v>200</v>
      </c>
      <c r="E7" s="19" t="n">
        <v>249.537</v>
      </c>
      <c r="F7" s="19" t="n">
        <v>241.92</v>
      </c>
      <c r="G7" s="5">
        <f>D7*F7</f>
        <v/>
      </c>
      <c r="H7" s="20">
        <f>G7/$K$2</f>
        <v/>
      </c>
      <c r="I7" s="5">
        <f>(F7-E7)*D7</f>
        <v/>
      </c>
      <c r="J7" s="20">
        <f>IF(E7=0,0,(F7-E7)/E7)</f>
        <v/>
      </c>
      <c r="K7" s="8" t="n">
        <v>-0.1</v>
      </c>
      <c r="L7" s="9" t="n">
        <v>225</v>
      </c>
      <c r="M7" s="9" t="n">
        <v>260</v>
      </c>
      <c r="N7" s="10" t="inlineStr">
        <is>
          <t>持有</t>
        </is>
      </c>
    </row>
    <row r="8">
      <c r="A8" s="4" t="n">
        <v>4</v>
      </c>
      <c r="B8" s="4" t="inlineStr">
        <is>
          <t>立讯精密</t>
        </is>
      </c>
      <c r="C8" s="4" t="inlineStr">
        <is>
          <t>002475</t>
        </is>
      </c>
      <c r="D8" s="5" t="n">
        <v>800</v>
      </c>
      <c r="E8" s="19" t="n">
        <v>69.398</v>
      </c>
      <c r="F8" s="19" t="n">
        <v>58.05</v>
      </c>
      <c r="G8" s="5">
        <f>D8*F8</f>
        <v/>
      </c>
      <c r="H8" s="20">
        <f>G8/$K$2</f>
        <v/>
      </c>
      <c r="I8" s="5">
        <f>(F8-E8)*D8</f>
        <v/>
      </c>
      <c r="J8" s="20">
        <f>IF(E8=0,0,(F8-E8)/E8)</f>
        <v/>
      </c>
      <c r="K8" s="8" t="n">
        <v>-0.0573</v>
      </c>
      <c r="L8" s="9" t="n">
        <v>52</v>
      </c>
      <c r="M8" s="9" t="n">
        <v>68</v>
      </c>
      <c r="N8" s="10" t="inlineStr">
        <is>
          <t>持有</t>
        </is>
      </c>
    </row>
    <row r="9">
      <c r="A9" s="4" t="n">
        <v>5</v>
      </c>
      <c r="B9" s="4" t="inlineStr">
        <is>
          <t>景旺电子</t>
        </is>
      </c>
      <c r="C9" s="4" t="inlineStr">
        <is>
          <t>603228</t>
        </is>
      </c>
      <c r="D9" s="5" t="n">
        <v>600</v>
      </c>
      <c r="E9" s="19" t="n">
        <v>79.88200000000001</v>
      </c>
      <c r="F9" s="19" t="n">
        <v>71.7</v>
      </c>
      <c r="G9" s="5">
        <f>D9*F9</f>
        <v/>
      </c>
      <c r="H9" s="20">
        <f>G9/$K$2</f>
        <v/>
      </c>
      <c r="I9" s="5">
        <f>(F9-E9)*D9</f>
        <v/>
      </c>
      <c r="J9" s="20">
        <f>IF(E9=0,0,(F9-E9)/E9)</f>
        <v/>
      </c>
      <c r="K9" s="8" t="n">
        <v>0.0129</v>
      </c>
      <c r="L9" s="9" t="n">
        <v>66</v>
      </c>
      <c r="M9" s="9" t="n">
        <v>80</v>
      </c>
      <c r="N9" s="10" t="inlineStr">
        <is>
          <t>持有</t>
        </is>
      </c>
    </row>
    <row r="10">
      <c r="A10" s="4" t="n">
        <v>6</v>
      </c>
      <c r="B10" s="4" t="inlineStr">
        <is>
          <t>生益科技</t>
        </is>
      </c>
      <c r="C10" s="4" t="inlineStr">
        <is>
          <t>600183</t>
        </is>
      </c>
      <c r="D10" s="5" t="n">
        <v>300</v>
      </c>
      <c r="E10" s="19" t="n">
        <v>185.479</v>
      </c>
      <c r="F10" s="19" t="n">
        <v>132.29</v>
      </c>
      <c r="G10" s="5">
        <f>D10*F10</f>
        <v/>
      </c>
      <c r="H10" s="20">
        <f>G10/$K$2</f>
        <v/>
      </c>
      <c r="I10" s="5">
        <f>(F10-E10)*D10</f>
        <v/>
      </c>
      <c r="J10" s="20">
        <f>IF(E10=0,0,(F10-E10)/E10)</f>
        <v/>
      </c>
      <c r="K10" s="8" t="n">
        <v>-0.1</v>
      </c>
      <c r="L10" s="9" t="n">
        <v>120</v>
      </c>
      <c r="M10" s="9" t="n">
        <v>160</v>
      </c>
      <c r="N10" s="10" t="inlineStr">
        <is>
          <t>持有</t>
        </is>
      </c>
    </row>
    <row r="11">
      <c r="A11" s="4" t="n">
        <v>7</v>
      </c>
      <c r="B11" s="4" t="inlineStr">
        <is>
          <t>通信ETF</t>
        </is>
      </c>
      <c r="C11" s="4" t="inlineStr">
        <is>
          <t>515880</t>
        </is>
      </c>
      <c r="D11" s="5" t="n">
        <v>59700</v>
      </c>
      <c r="E11" s="19" t="n">
        <v>0.506</v>
      </c>
      <c r="F11" s="19" t="n">
        <v>0.659</v>
      </c>
      <c r="G11" s="5">
        <f>D11*F11</f>
        <v/>
      </c>
      <c r="H11" s="20">
        <f>G11/$K$2</f>
        <v/>
      </c>
      <c r="I11" s="5">
        <f>(F11-E11)*D11</f>
        <v/>
      </c>
      <c r="J11" s="20">
        <f>IF(E11=0,0,(F11-E11)/E11)</f>
        <v/>
      </c>
      <c r="K11" s="8" t="n">
        <v>-0.09970000000000001</v>
      </c>
      <c r="L11" s="9" t="n">
        <v>0.6</v>
      </c>
      <c r="M11" s="9" t="n">
        <v>0.72</v>
      </c>
      <c r="N11" s="10" t="inlineStr">
        <is>
          <t>持有</t>
        </is>
      </c>
    </row>
    <row r="12">
      <c r="A12" s="4" t="n">
        <v>8</v>
      </c>
      <c r="B12" s="4" t="inlineStr">
        <is>
          <t>亨通光电</t>
        </is>
      </c>
      <c r="C12" s="4" t="inlineStr">
        <is>
          <t>600487</t>
        </is>
      </c>
      <c r="D12" s="5" t="n">
        <v>500</v>
      </c>
      <c r="E12" s="19" t="n">
        <v>109.457</v>
      </c>
      <c r="F12" s="19" t="n">
        <v>58.39</v>
      </c>
      <c r="G12" s="5">
        <f>D12*F12</f>
        <v/>
      </c>
      <c r="H12" s="20">
        <f>G12/$K$2</f>
        <v/>
      </c>
      <c r="I12" s="5">
        <f>(F12-E12)*D12</f>
        <v/>
      </c>
      <c r="J12" s="20">
        <f>IF(E12=0,0,(F12-E12)/E12)</f>
        <v/>
      </c>
      <c r="K12" s="8" t="n">
        <v>-0.09960000000000001</v>
      </c>
      <c r="L12" s="10" t="inlineStr"/>
      <c r="M12" s="10" t="inlineStr"/>
      <c r="N12" s="10" t="inlineStr">
        <is>
          <t>建议清仓</t>
        </is>
      </c>
    </row>
    <row r="13">
      <c r="A13" s="4" t="n">
        <v>9</v>
      </c>
      <c r="B13" s="4" t="inlineStr">
        <is>
          <t>平安电工</t>
        </is>
      </c>
      <c r="C13" s="4" t="inlineStr">
        <is>
          <t>001359</t>
        </is>
      </c>
      <c r="D13" s="5" t="n">
        <v>300</v>
      </c>
      <c r="E13" s="19" t="n">
        <v>128.923</v>
      </c>
      <c r="F13" s="19" t="n">
        <v>96.19</v>
      </c>
      <c r="G13" s="5">
        <f>D13*F13</f>
        <v/>
      </c>
      <c r="H13" s="20">
        <f>G13/$K$2</f>
        <v/>
      </c>
      <c r="I13" s="5">
        <f>(F13-E13)*D13</f>
        <v/>
      </c>
      <c r="J13" s="20">
        <f>IF(E13=0,0,(F13-E13)/E13)</f>
        <v/>
      </c>
      <c r="K13" s="8" t="n">
        <v>-0.1</v>
      </c>
      <c r="L13" s="10" t="inlineStr"/>
      <c r="M13" s="10" t="inlineStr"/>
      <c r="N13" s="10" t="inlineStr">
        <is>
          <t>建议清仓</t>
        </is>
      </c>
    </row>
    <row r="14">
      <c r="A14" s="4" t="n">
        <v>10</v>
      </c>
      <c r="B14" s="4" t="inlineStr">
        <is>
          <t>通富微电</t>
        </is>
      </c>
      <c r="C14" s="4" t="inlineStr">
        <is>
          <t>002156</t>
        </is>
      </c>
      <c r="D14" s="5" t="n">
        <v>400</v>
      </c>
      <c r="E14" s="19" t="n">
        <v>78.211</v>
      </c>
      <c r="F14" s="19" t="n">
        <v>68.36</v>
      </c>
      <c r="G14" s="5">
        <f>D14*F14</f>
        <v/>
      </c>
      <c r="H14" s="20">
        <f>G14/$K$2</f>
        <v/>
      </c>
      <c r="I14" s="5">
        <f>(F14-E14)*D14</f>
        <v/>
      </c>
      <c r="J14" s="20">
        <f>IF(E14=0,0,(F14-E14)/E14)</f>
        <v/>
      </c>
      <c r="K14" s="8" t="n">
        <v>-0.0999</v>
      </c>
      <c r="L14" s="9" t="n">
        <v>62</v>
      </c>
      <c r="M14" s="9" t="n">
        <v>82</v>
      </c>
      <c r="N14" s="10" t="inlineStr">
        <is>
          <t>持有</t>
        </is>
      </c>
    </row>
    <row r="15">
      <c r="A15" s="4" t="n">
        <v>11</v>
      </c>
      <c r="B15" s="4" t="inlineStr">
        <is>
          <t>福晶科技</t>
        </is>
      </c>
      <c r="C15" s="4" t="inlineStr">
        <is>
          <t>002222</t>
        </is>
      </c>
      <c r="D15" s="5" t="n">
        <v>100</v>
      </c>
      <c r="E15" s="19" t="n">
        <v>76.93000000000001</v>
      </c>
      <c r="F15" s="19" t="n">
        <v>60.05</v>
      </c>
      <c r="G15" s="5">
        <f>D15*F15</f>
        <v/>
      </c>
      <c r="H15" s="20">
        <f>G15/$K$2</f>
        <v/>
      </c>
      <c r="I15" s="5">
        <f>(F15-E15)*D15</f>
        <v/>
      </c>
      <c r="J15" s="20">
        <f>IF(E15=0,0,(F15-E15)/E15)</f>
        <v/>
      </c>
      <c r="K15" s="8" t="n">
        <v>-0.0892</v>
      </c>
      <c r="L15" s="10" t="inlineStr"/>
      <c r="M15" s="10" t="inlineStr"/>
      <c r="N15" s="10" t="inlineStr">
        <is>
          <t>建议清仓</t>
        </is>
      </c>
    </row>
    <row r="16">
      <c r="A16" s="11" t="inlineStr">
        <is>
          <t>说明：每日只需更新 F 列「现价」，其余列自动计算。</t>
        </is>
      </c>
      <c r="B16" s="12" t="inlineStr">
        <is>
          <t>合计</t>
        </is>
      </c>
      <c r="C16" s="4" t="n"/>
      <c r="D16" s="10" t="n"/>
      <c r="E16" s="10" t="n"/>
      <c r="F16" s="10" t="n"/>
      <c r="G16" s="5">
        <f>SUM(G5:G15)</f>
        <v/>
      </c>
      <c r="H16" s="20">
        <f>SUM(H5:H15)</f>
        <v/>
      </c>
      <c r="I16" s="5">
        <f>SUM(I5:I15)</f>
        <v/>
      </c>
      <c r="J16" s="20">
        <f>IF(G16-I16=0,0,I16/(G16-I16))</f>
        <v/>
      </c>
      <c r="K16" s="10" t="n"/>
      <c r="L16" s="10" t="n"/>
      <c r="M16" s="10" t="n"/>
      <c r="N16" s="10" t="n"/>
    </row>
  </sheetData>
  <mergeCells count="2">
    <mergeCell ref="A2:J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>
      <c r="A1" s="1" t="inlineStr">
        <is>
          <t>稳健版 — 目标持仓（优化后）</t>
        </is>
      </c>
    </row>
    <row r="2">
      <c r="A2" t="inlineStr">
        <is>
          <t>账户总市值：</t>
        </is>
      </c>
      <c r="B2" s="2" t="n">
        <v>434050</v>
      </c>
    </row>
    <row r="4">
      <c r="A4" s="3" t="inlineStr">
        <is>
          <t>序号</t>
        </is>
      </c>
      <c r="B4" s="3" t="inlineStr">
        <is>
          <t>标的</t>
        </is>
      </c>
      <c r="C4" s="3" t="inlineStr">
        <is>
          <t>代码</t>
        </is>
      </c>
      <c r="D4" s="3" t="inlineStr">
        <is>
          <t>目标数量</t>
        </is>
      </c>
      <c r="E4" s="3" t="inlineStr">
        <is>
          <t>成本价</t>
        </is>
      </c>
      <c r="F4" s="3" t="inlineStr">
        <is>
          <t>现价</t>
        </is>
      </c>
      <c r="G4" s="3" t="inlineStr">
        <is>
          <t>市值(元)</t>
        </is>
      </c>
      <c r="H4" s="3" t="inlineStr">
        <is>
          <t>目标占比</t>
        </is>
      </c>
      <c r="I4" s="3" t="inlineStr">
        <is>
          <t>实际占比</t>
        </is>
      </c>
      <c r="J4" s="3" t="inlineStr">
        <is>
          <t>累计盈亏(元)</t>
        </is>
      </c>
      <c r="K4" s="3" t="inlineStr">
        <is>
          <t>累计盈亏%</t>
        </is>
      </c>
      <c r="L4" s="3" t="inlineStr">
        <is>
          <t>止损价</t>
        </is>
      </c>
      <c r="M4" s="3" t="inlineStr">
        <is>
          <t>止盈价</t>
        </is>
      </c>
      <c r="N4" s="3" t="inlineStr">
        <is>
          <t>距止损%</t>
        </is>
      </c>
      <c r="O4" s="3" t="inlineStr">
        <is>
          <t>触发状态</t>
        </is>
      </c>
      <c r="P4" s="3" t="inlineStr">
        <is>
          <t>止损/止盈动作</t>
        </is>
      </c>
    </row>
    <row r="5">
      <c r="A5" s="4" t="n">
        <v>1</v>
      </c>
      <c r="B5" s="4" t="inlineStr">
        <is>
          <t>科创芯片ETF</t>
        </is>
      </c>
      <c r="C5" s="4" t="inlineStr">
        <is>
          <t>588810</t>
        </is>
      </c>
      <c r="D5" s="5" t="n">
        <v>14355</v>
      </c>
      <c r="E5" s="19" t="n">
        <v>1.905</v>
      </c>
      <c r="F5" s="19" t="n">
        <v>2.557</v>
      </c>
      <c r="G5" s="5">
        <f>D5*F5</f>
        <v/>
      </c>
      <c r="H5" s="20" t="n">
        <v>0.08500000000000001</v>
      </c>
      <c r="I5" s="20">
        <f>G5/$B$2</f>
        <v/>
      </c>
      <c r="J5" s="5">
        <f>(F5-E5)*D5</f>
        <v/>
      </c>
      <c r="K5" s="20">
        <f>IF(E5=0,0,(F5-E5)/E5)</f>
        <v/>
      </c>
      <c r="L5" s="9" t="n">
        <v>2.2</v>
      </c>
      <c r="M5" s="9" t="n">
        <v>2.8</v>
      </c>
      <c r="N5" s="20">
        <f>IF(L5="","",(F5-L5)/L5)</f>
        <v/>
      </c>
      <c r="O5" s="10">
        <f>IF(L5="","—",IF(F5&lt;=L5,"🔴止损",IF(F5&gt;=M5,"🟢止盈","⚪正常")))</f>
        <v/>
      </c>
      <c r="P5" s="10" t="inlineStr">
        <is>
          <t>跌破→清仓 / 涨破→减至5%</t>
        </is>
      </c>
    </row>
    <row r="6">
      <c r="A6" s="4" t="n">
        <v>2</v>
      </c>
      <c r="B6" s="4" t="inlineStr">
        <is>
          <t>AI智能ETF</t>
        </is>
      </c>
      <c r="C6" s="4" t="inlineStr">
        <is>
          <t>159819</t>
        </is>
      </c>
      <c r="D6" s="5" t="n">
        <v>16250</v>
      </c>
      <c r="E6" s="19" t="n">
        <v>1.5</v>
      </c>
      <c r="F6" s="19" t="n">
        <v>1.82</v>
      </c>
      <c r="G6" s="5">
        <f>D6*F6</f>
        <v/>
      </c>
      <c r="H6" s="20" t="n">
        <v>0.068</v>
      </c>
      <c r="I6" s="20">
        <f>G6/$B$2</f>
        <v/>
      </c>
      <c r="J6" s="5">
        <f>(F6-E6)*D6</f>
        <v/>
      </c>
      <c r="K6" s="20">
        <f>IF(E6=0,0,(F6-E6)/E6)</f>
        <v/>
      </c>
      <c r="L6" s="9" t="n">
        <v>1.6</v>
      </c>
      <c r="M6" s="9" t="n">
        <v>1.95</v>
      </c>
      <c r="N6" s="20">
        <f>IF(L6="","",(F6-L6)/L6)</f>
        <v/>
      </c>
      <c r="O6" s="10">
        <f>IF(L6="","—",IF(F6&lt;=L6,"🔴止损",IF(F6&gt;=M6,"🟢止盈","⚪正常")))</f>
        <v/>
      </c>
      <c r="P6" s="10" t="inlineStr">
        <is>
          <t>跌破→清仓 / 涨破→减至4%</t>
        </is>
      </c>
    </row>
    <row r="7">
      <c r="A7" s="4" t="n">
        <v>3</v>
      </c>
      <c r="B7" s="4" t="inlineStr">
        <is>
          <t>通信ETF</t>
        </is>
      </c>
      <c r="C7" s="4" t="inlineStr">
        <is>
          <t>515880</t>
        </is>
      </c>
      <c r="D7" s="5" t="n">
        <v>26865</v>
      </c>
      <c r="E7" s="19" t="n">
        <v>0.506</v>
      </c>
      <c r="F7" s="19" t="n">
        <v>0.659</v>
      </c>
      <c r="G7" s="5">
        <f>D7*F7</f>
        <v/>
      </c>
      <c r="H7" s="20" t="n">
        <v>0.041</v>
      </c>
      <c r="I7" s="20">
        <f>G7/$B$2</f>
        <v/>
      </c>
      <c r="J7" s="5">
        <f>(F7-E7)*D7</f>
        <v/>
      </c>
      <c r="K7" s="20">
        <f>IF(E7=0,0,(F7-E7)/E7)</f>
        <v/>
      </c>
      <c r="L7" s="9" t="n">
        <v>0.6</v>
      </c>
      <c r="M7" s="9" t="n">
        <v>0.72</v>
      </c>
      <c r="N7" s="20">
        <f>IF(L7="","",(F7-L7)/L7)</f>
        <v/>
      </c>
      <c r="O7" s="10">
        <f>IF(L7="","—",IF(F7&lt;=L7,"🔴止损",IF(F7&gt;=M7,"🟢止盈","⚪正常")))</f>
        <v/>
      </c>
      <c r="P7" s="10" t="inlineStr">
        <is>
          <t>跌破→清仓 / 涨破→减至3%</t>
        </is>
      </c>
    </row>
    <row r="8">
      <c r="A8" s="4" t="n">
        <v>4</v>
      </c>
      <c r="B8" s="4" t="inlineStr">
        <is>
          <t>景旺电子</t>
        </is>
      </c>
      <c r="C8" s="4" t="inlineStr">
        <is>
          <t>603228</t>
        </is>
      </c>
      <c r="D8" s="5" t="n">
        <v>600</v>
      </c>
      <c r="E8" s="19" t="n">
        <v>79.88200000000001</v>
      </c>
      <c r="F8" s="19" t="n">
        <v>71.7</v>
      </c>
      <c r="G8" s="5">
        <f>D8*F8</f>
        <v/>
      </c>
      <c r="H8" s="20" t="n">
        <v>0.099</v>
      </c>
      <c r="I8" s="20">
        <f>G8/$B$2</f>
        <v/>
      </c>
      <c r="J8" s="5">
        <f>(F8-E8)*D8</f>
        <v/>
      </c>
      <c r="K8" s="20">
        <f>IF(E8=0,0,(F8-E8)/E8)</f>
        <v/>
      </c>
      <c r="L8" s="9" t="n">
        <v>66</v>
      </c>
      <c r="M8" s="9" t="n">
        <v>80</v>
      </c>
      <c r="N8" s="20">
        <f>IF(L8="","",(F8-L8)/L8)</f>
        <v/>
      </c>
      <c r="O8" s="10">
        <f>IF(L8="","—",IF(F8&lt;=L8,"🔴止损",IF(F8&gt;=M8,"🟢止盈","⚪正常")))</f>
        <v/>
      </c>
      <c r="P8" s="10" t="inlineStr">
        <is>
          <t>跌破→清仓 / 涨破→减50%</t>
        </is>
      </c>
    </row>
    <row r="9">
      <c r="A9" s="4" t="n">
        <v>5</v>
      </c>
      <c r="B9" s="4" t="inlineStr">
        <is>
          <t>立讯精密</t>
        </is>
      </c>
      <c r="C9" s="4" t="inlineStr">
        <is>
          <t>002475</t>
        </is>
      </c>
      <c r="D9" s="5" t="n">
        <v>800</v>
      </c>
      <c r="E9" s="19" t="n">
        <v>69.398</v>
      </c>
      <c r="F9" s="19" t="n">
        <v>58.05</v>
      </c>
      <c r="G9" s="5">
        <f>D9*F9</f>
        <v/>
      </c>
      <c r="H9" s="20" t="n">
        <v>0.107</v>
      </c>
      <c r="I9" s="20">
        <f>G9/$B$2</f>
        <v/>
      </c>
      <c r="J9" s="5">
        <f>(F9-E9)*D9</f>
        <v/>
      </c>
      <c r="K9" s="20">
        <f>IF(E9=0,0,(F9-E9)/E9)</f>
        <v/>
      </c>
      <c r="L9" s="9" t="n">
        <v>52</v>
      </c>
      <c r="M9" s="9" t="n">
        <v>68</v>
      </c>
      <c r="N9" s="20">
        <f>IF(L9="","",(F9-L9)/L9)</f>
        <v/>
      </c>
      <c r="O9" s="10">
        <f>IF(L9="","—",IF(F9&lt;=L9,"🔴止损",IF(F9&gt;=M9,"🟢止盈","⚪正常")))</f>
        <v/>
      </c>
      <c r="P9" s="10" t="inlineStr">
        <is>
          <t>跌破→清仓 / 涨破→减50%</t>
        </is>
      </c>
    </row>
    <row r="10">
      <c r="A10" s="4" t="n">
        <v>6</v>
      </c>
      <c r="B10" s="4" t="inlineStr">
        <is>
          <t>东山精密</t>
        </is>
      </c>
      <c r="C10" s="4" t="inlineStr">
        <is>
          <t>002384</t>
        </is>
      </c>
      <c r="D10" s="5" t="n">
        <v>100</v>
      </c>
      <c r="E10" s="19" t="n">
        <v>249.537</v>
      </c>
      <c r="F10" s="19" t="n">
        <v>241.92</v>
      </c>
      <c r="G10" s="5">
        <f>D10*F10</f>
        <v/>
      </c>
      <c r="H10" s="20" t="n">
        <v>0.056</v>
      </c>
      <c r="I10" s="20">
        <f>G10/$B$2</f>
        <v/>
      </c>
      <c r="J10" s="5">
        <f>(F10-E10)*D10</f>
        <v/>
      </c>
      <c r="K10" s="20">
        <f>IF(E10=0,0,(F10-E10)/E10)</f>
        <v/>
      </c>
      <c r="L10" s="9" t="n">
        <v>225</v>
      </c>
      <c r="M10" s="9" t="n">
        <v>260</v>
      </c>
      <c r="N10" s="20">
        <f>IF(L10="","",(F10-L10)/L10)</f>
        <v/>
      </c>
      <c r="O10" s="10">
        <f>IF(L10="","—",IF(F10&lt;=L10,"🔴止损",IF(F10&gt;=M10,"🟢止盈","⚪正常")))</f>
        <v/>
      </c>
      <c r="P10" s="10" t="inlineStr">
        <is>
          <t>跌破→清仓 / 回本→清仓</t>
        </is>
      </c>
    </row>
    <row r="11">
      <c r="A11" s="4" t="n">
        <v>7</v>
      </c>
      <c r="B11" s="4" t="inlineStr">
        <is>
          <t>红利ETF</t>
        </is>
      </c>
      <c r="C11" s="4" t="inlineStr">
        <is>
          <t>510880</t>
        </is>
      </c>
      <c r="D11" s="5" t="n">
        <v>16500</v>
      </c>
      <c r="E11" s="19" t="n">
        <v>3.15</v>
      </c>
      <c r="F11" s="19" t="n">
        <v>3.135</v>
      </c>
      <c r="G11" s="5">
        <f>D11*F11</f>
        <v/>
      </c>
      <c r="H11" s="20" t="n">
        <v>0.12</v>
      </c>
      <c r="I11" s="20">
        <f>G11/$B$2</f>
        <v/>
      </c>
      <c r="J11" s="5">
        <f>(F11-E11)*D11</f>
        <v/>
      </c>
      <c r="K11" s="20">
        <f>IF(E11=0,0,(F11-E11)/E11)</f>
        <v/>
      </c>
      <c r="L11" s="9" t="n">
        <v>2.9</v>
      </c>
      <c r="M11" s="9" t="n">
        <v>3.5</v>
      </c>
      <c r="N11" s="20">
        <f>IF(L11="","",(F11-L11)/L11)</f>
        <v/>
      </c>
      <c r="O11" s="10">
        <f>IF(L11="","—",IF(F11&lt;=L11,"🔴止损",IF(F11&gt;=M11,"🟢止盈","⚪正常")))</f>
        <v/>
      </c>
      <c r="P11" s="10" t="inlineStr">
        <is>
          <t>跌破→观望 / 涨破→持有</t>
        </is>
      </c>
    </row>
    <row r="12">
      <c r="A12" s="4" t="n">
        <v>8</v>
      </c>
      <c r="B12" s="4" t="inlineStr">
        <is>
          <t>沪深300ETF</t>
        </is>
      </c>
      <c r="C12" s="4" t="inlineStr">
        <is>
          <t>510300</t>
        </is>
      </c>
      <c r="D12" s="5" t="n">
        <v>10750</v>
      </c>
      <c r="E12" s="19" t="n">
        <v>4</v>
      </c>
      <c r="F12" s="19" t="n">
        <v>4.589</v>
      </c>
      <c r="G12" s="5">
        <f>D12*F12</f>
        <v/>
      </c>
      <c r="H12" s="20" t="n">
        <v>0.099</v>
      </c>
      <c r="I12" s="20">
        <f>G12/$B$2</f>
        <v/>
      </c>
      <c r="J12" s="5">
        <f>(F12-E12)*D12</f>
        <v/>
      </c>
      <c r="K12" s="20">
        <f>IF(E12=0,0,(F12-E12)/E12)</f>
        <v/>
      </c>
      <c r="L12" s="9" t="n">
        <v>3.7</v>
      </c>
      <c r="M12" s="9" t="n">
        <v>4.4</v>
      </c>
      <c r="N12" s="20">
        <f>IF(L12="","",(F12-L12)/L12)</f>
        <v/>
      </c>
      <c r="O12" s="10">
        <f>IF(L12="","—",IF(F12&lt;=L12,"🔴止损",IF(F12&gt;=M12,"🟢止盈","⚪正常")))</f>
        <v/>
      </c>
      <c r="P12" s="10" t="inlineStr">
        <is>
          <t>跌破→观望 / 涨破→持有</t>
        </is>
      </c>
    </row>
    <row r="13">
      <c r="A13" s="4" t="n">
        <v>9</v>
      </c>
      <c r="B13" s="4" t="inlineStr">
        <is>
          <t>货币基金</t>
        </is>
      </c>
      <c r="C13" s="4" t="inlineStr">
        <is>
          <t>—</t>
        </is>
      </c>
      <c r="D13" s="5" t="n">
        <v>0</v>
      </c>
      <c r="E13" s="19" t="n">
        <v>1</v>
      </c>
      <c r="F13" s="19" t="n">
        <v>1</v>
      </c>
      <c r="G13" s="5" t="n">
        <v>122525</v>
      </c>
      <c r="H13" s="20" t="n">
        <v>0.282</v>
      </c>
      <c r="I13" s="20">
        <f>G13/$B$2</f>
        <v/>
      </c>
      <c r="J13" s="5" t="n">
        <v>0</v>
      </c>
      <c r="K13" s="20" t="n">
        <v>0</v>
      </c>
      <c r="L13" s="10" t="inlineStr"/>
      <c r="M13" s="10" t="inlineStr"/>
      <c r="N13" s="10" t="inlineStr">
        <is>
          <t>—</t>
        </is>
      </c>
      <c r="O13" s="10" t="inlineStr">
        <is>
          <t>—</t>
        </is>
      </c>
      <c r="P13" s="10" t="inlineStr">
        <is>
          <t>— / 企稳后分批买入</t>
        </is>
      </c>
    </row>
    <row r="14">
      <c r="A14" s="4" t="n"/>
      <c r="B14" s="12" t="inlineStr">
        <is>
          <t>合计</t>
        </is>
      </c>
      <c r="C14" s="4" t="n"/>
      <c r="D14" s="10" t="n"/>
      <c r="E14" s="10" t="n"/>
      <c r="F14" s="10" t="n"/>
      <c r="G14" s="5">
        <f>SUM(G5:G13)</f>
        <v/>
      </c>
      <c r="H14" s="10" t="n"/>
      <c r="I14" s="20">
        <f>SUM(I5:I13)</f>
        <v/>
      </c>
      <c r="J14" s="5">
        <f>SUM(J5:J13)</f>
        <v/>
      </c>
      <c r="K14" s="10" t="n"/>
      <c r="L14" s="10" t="n"/>
      <c r="M14" s="10" t="n"/>
      <c r="N14" s="10" t="n"/>
      <c r="O14" s="10" t="n"/>
      <c r="P14" s="10" t="n"/>
    </row>
    <row r="17">
      <c r="A17" s="1" t="inlineStr">
        <is>
          <t>调仓操作清单</t>
        </is>
      </c>
    </row>
    <row r="18">
      <c r="A18" s="3" t="inlineStr">
        <is>
          <t>操作</t>
        </is>
      </c>
      <c r="B18" s="3" t="inlineStr">
        <is>
          <t>标的</t>
        </is>
      </c>
      <c r="C18" s="3" t="inlineStr">
        <is>
          <t>代码</t>
        </is>
      </c>
      <c r="D18" s="3" t="inlineStr">
        <is>
          <t>数量</t>
        </is>
      </c>
      <c r="E18" s="3" t="inlineStr">
        <is>
          <t>预估金额(元)</t>
        </is>
      </c>
      <c r="F18" s="3" t="inlineStr">
        <is>
          <t>备注</t>
        </is>
      </c>
    </row>
    <row r="19">
      <c r="A19" s="13" t="inlineStr">
        <is>
          <t>清仓</t>
        </is>
      </c>
      <c r="B19" s="13" t="inlineStr">
        <is>
          <t>亨通光电</t>
        </is>
      </c>
      <c r="C19" s="13" t="inlineStr">
        <is>
          <t>600487</t>
        </is>
      </c>
      <c r="D19" s="13" t="inlineStr">
        <is>
          <t>500股</t>
        </is>
      </c>
      <c r="E19" s="14" t="n">
        <v>29195</v>
      </c>
      <c r="F19" s="13" t="inlineStr">
        <is>
          <t>止损 -47%</t>
        </is>
      </c>
    </row>
    <row r="20">
      <c r="A20" s="13" t="inlineStr">
        <is>
          <t>清仓</t>
        </is>
      </c>
      <c r="B20" s="13" t="inlineStr">
        <is>
          <t>福晶科技</t>
        </is>
      </c>
      <c r="C20" s="13" t="inlineStr">
        <is>
          <t>002222</t>
        </is>
      </c>
      <c r="D20" s="13" t="inlineStr">
        <is>
          <t>100股</t>
        </is>
      </c>
      <c r="E20" s="14" t="n">
        <v>6005</v>
      </c>
      <c r="F20" s="13" t="inlineStr">
        <is>
          <t>简化组合</t>
        </is>
      </c>
    </row>
    <row r="21">
      <c r="A21" s="13" t="inlineStr">
        <is>
          <t>清仓</t>
        </is>
      </c>
      <c r="B21" s="13" t="inlineStr">
        <is>
          <t>平安电工</t>
        </is>
      </c>
      <c r="C21" s="13" t="inlineStr">
        <is>
          <t>001359</t>
        </is>
      </c>
      <c r="D21" s="13" t="inlineStr">
        <is>
          <t>300股</t>
        </is>
      </c>
      <c r="E21" s="14" t="n">
        <v>28857</v>
      </c>
      <c r="F21" s="13" t="inlineStr">
        <is>
          <t>PCB冗余</t>
        </is>
      </c>
    </row>
    <row r="22">
      <c r="A22" s="13" t="inlineStr">
        <is>
          <t>清仓</t>
        </is>
      </c>
      <c r="B22" s="13" t="inlineStr">
        <is>
          <t>生益科技</t>
        </is>
      </c>
      <c r="C22" s="13" t="inlineStr">
        <is>
          <t>600183</t>
        </is>
      </c>
      <c r="D22" s="13" t="inlineStr">
        <is>
          <t>300股</t>
        </is>
      </c>
      <c r="E22" s="14" t="n">
        <v>39687</v>
      </c>
      <c r="F22" s="13" t="inlineStr">
        <is>
          <t>成本过高</t>
        </is>
      </c>
    </row>
    <row r="23">
      <c r="A23" s="13" t="inlineStr">
        <is>
          <t>清仓</t>
        </is>
      </c>
      <c r="B23" s="13" t="inlineStr">
        <is>
          <t>通富微电</t>
        </is>
      </c>
      <c r="C23" s="13" t="inlineStr">
        <is>
          <t>002156</t>
        </is>
      </c>
      <c r="D23" s="13" t="inlineStr">
        <is>
          <t>400股</t>
        </is>
      </c>
      <c r="E23" s="14" t="n">
        <v>27344</v>
      </c>
      <c r="F23" s="13" t="inlineStr">
        <is>
          <t>用ETF替代</t>
        </is>
      </c>
    </row>
    <row r="24">
      <c r="A24" s="13" t="inlineStr">
        <is>
          <t>减仓50%</t>
        </is>
      </c>
      <c r="B24" s="13" t="inlineStr">
        <is>
          <t>东山精密</t>
        </is>
      </c>
      <c r="C24" s="13" t="inlineStr">
        <is>
          <t>002384</t>
        </is>
      </c>
      <c r="D24" s="13" t="inlineStr">
        <is>
          <t>100股</t>
        </is>
      </c>
      <c r="E24" s="14" t="n">
        <v>24192</v>
      </c>
      <c r="F24" s="13" t="inlineStr">
        <is>
          <t>保留100股</t>
        </is>
      </c>
    </row>
    <row r="25">
      <c r="A25" s="13" t="inlineStr">
        <is>
          <t>减仓45%</t>
        </is>
      </c>
      <c r="B25" s="13" t="inlineStr">
        <is>
          <t>科创芯片ETF</t>
        </is>
      </c>
      <c r="C25" s="13" t="inlineStr">
        <is>
          <t>588810</t>
        </is>
      </c>
      <c r="D25" s="13" t="inlineStr">
        <is>
          <t>11745份</t>
        </is>
      </c>
      <c r="E25" s="14" t="n">
        <v>30032</v>
      </c>
      <c r="F25" s="13" t="inlineStr">
        <is>
          <t>锁定利润</t>
        </is>
      </c>
    </row>
    <row r="26">
      <c r="A26" s="13" t="inlineStr">
        <is>
          <t>减仓50%</t>
        </is>
      </c>
      <c r="B26" s="13" t="inlineStr">
        <is>
          <t>AI智能ETF</t>
        </is>
      </c>
      <c r="C26" s="13" t="inlineStr">
        <is>
          <t>159819</t>
        </is>
      </c>
      <c r="D26" s="13" t="inlineStr">
        <is>
          <t>16250份</t>
        </is>
      </c>
      <c r="E26" s="14" t="n">
        <v>29575</v>
      </c>
      <c r="F26" s="13" t="inlineStr">
        <is>
          <t>锁定利润</t>
        </is>
      </c>
    </row>
    <row r="27">
      <c r="A27" s="13" t="inlineStr">
        <is>
          <t>减仓55%</t>
        </is>
      </c>
      <c r="B27" s="13" t="inlineStr">
        <is>
          <t>通信ETF</t>
        </is>
      </c>
      <c r="C27" s="13" t="inlineStr">
        <is>
          <t>515880</t>
        </is>
      </c>
      <c r="D27" s="13" t="inlineStr">
        <is>
          <t>32835份</t>
        </is>
      </c>
      <c r="E27" s="14" t="n">
        <v>21638</v>
      </c>
      <c r="F27" s="13" t="inlineStr">
        <is>
          <t>情绪最弱</t>
        </is>
      </c>
    </row>
    <row r="28">
      <c r="A28" s="13" t="inlineStr">
        <is>
          <t>买入</t>
        </is>
      </c>
      <c r="B28" s="13" t="inlineStr">
        <is>
          <t>红利ETF</t>
        </is>
      </c>
      <c r="C28" s="13" t="inlineStr">
        <is>
          <t>510880</t>
        </is>
      </c>
      <c r="D28" s="13" t="inlineStr">
        <is>
          <t>16500份</t>
        </is>
      </c>
      <c r="E28" s="14" t="n">
        <v>51975</v>
      </c>
      <c r="F28" s="13" t="inlineStr">
        <is>
          <t>防御仓位12%</t>
        </is>
      </c>
    </row>
    <row r="29">
      <c r="A29" s="13" t="inlineStr">
        <is>
          <t>买入</t>
        </is>
      </c>
      <c r="B29" s="13" t="inlineStr">
        <is>
          <t>沪深300ETF</t>
        </is>
      </c>
      <c r="C29" s="13" t="inlineStr">
        <is>
          <t>510300</t>
        </is>
      </c>
      <c r="D29" s="13" t="inlineStr">
        <is>
          <t>10750份</t>
        </is>
      </c>
      <c r="E29" s="14" t="n">
        <v>43000</v>
      </c>
      <c r="F29" s="13" t="inlineStr">
        <is>
          <t>防御仓位10%</t>
        </is>
      </c>
    </row>
    <row r="30">
      <c r="A30" s="13" t="inlineStr">
        <is>
          <t>持币</t>
        </is>
      </c>
      <c r="B30" s="13" t="inlineStr">
        <is>
          <t>货币基金</t>
        </is>
      </c>
      <c r="C30" s="13" t="inlineStr">
        <is>
          <t>—</t>
        </is>
      </c>
      <c r="D30" s="13" t="inlineStr">
        <is>
          <t>—</t>
        </is>
      </c>
      <c r="E30" s="14" t="n">
        <v>122525</v>
      </c>
      <c r="F30" s="13" t="inlineStr">
        <is>
          <t>机动储备28%</t>
        </is>
      </c>
    </row>
    <row r="32">
      <c r="A32" s="15" t="inlineStr">
        <is>
          <t>卖出回笼合计</t>
        </is>
      </c>
      <c r="E32" s="2">
        <f>SUMIF(A19:A30,"清仓",E19:E30)+SUMIF(A19:A30,"减仓50%",E19:E30)+SUMIF(A19:A30,"减仓45%",E19:E30)+SUMIF(A19:A30,"减仓55%",E19:E30)</f>
        <v/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>
      <c r="A1" s="1" t="inlineStr">
        <is>
          <t>激进版 — 目标持仓（优化后）</t>
        </is>
      </c>
    </row>
    <row r="2">
      <c r="A2" t="inlineStr">
        <is>
          <t>账户总市值：</t>
        </is>
      </c>
      <c r="B2" s="2" t="n">
        <v>434050</v>
      </c>
    </row>
    <row r="4">
      <c r="A4" s="3" t="inlineStr">
        <is>
          <t>序号</t>
        </is>
      </c>
      <c r="B4" s="3" t="inlineStr">
        <is>
          <t>标的</t>
        </is>
      </c>
      <c r="C4" s="3" t="inlineStr">
        <is>
          <t>代码</t>
        </is>
      </c>
      <c r="D4" s="3" t="inlineStr">
        <is>
          <t>目标数量</t>
        </is>
      </c>
      <c r="E4" s="3" t="inlineStr">
        <is>
          <t>成本价</t>
        </is>
      </c>
      <c r="F4" s="3" t="inlineStr">
        <is>
          <t>现价</t>
        </is>
      </c>
      <c r="G4" s="3" t="inlineStr">
        <is>
          <t>市值(元)</t>
        </is>
      </c>
      <c r="H4" s="3" t="inlineStr">
        <is>
          <t>目标占比</t>
        </is>
      </c>
      <c r="I4" s="3" t="inlineStr">
        <is>
          <t>实际占比</t>
        </is>
      </c>
      <c r="J4" s="3" t="inlineStr">
        <is>
          <t>累计盈亏(元)</t>
        </is>
      </c>
      <c r="K4" s="3" t="inlineStr">
        <is>
          <t>累计盈亏%</t>
        </is>
      </c>
      <c r="L4" s="3" t="inlineStr">
        <is>
          <t>止损价</t>
        </is>
      </c>
      <c r="M4" s="3" t="inlineStr">
        <is>
          <t>止盈价</t>
        </is>
      </c>
      <c r="N4" s="3" t="inlineStr">
        <is>
          <t>距止损%</t>
        </is>
      </c>
      <c r="O4" s="3" t="inlineStr">
        <is>
          <t>触发状态</t>
        </is>
      </c>
      <c r="P4" s="3" t="inlineStr">
        <is>
          <t>止损/止盈动作</t>
        </is>
      </c>
    </row>
    <row r="5">
      <c r="A5" s="4" t="n">
        <v>1</v>
      </c>
      <c r="B5" s="4" t="inlineStr">
        <is>
          <t>科创芯片ETF</t>
        </is>
      </c>
      <c r="C5" s="4" t="inlineStr">
        <is>
          <t>588810</t>
        </is>
      </c>
      <c r="D5" s="5" t="n">
        <v>20880</v>
      </c>
      <c r="E5" s="19" t="n">
        <v>1.905</v>
      </c>
      <c r="F5" s="19" t="n">
        <v>2.557</v>
      </c>
      <c r="G5" s="5">
        <f>D5*F5</f>
        <v/>
      </c>
      <c r="H5" s="20" t="n">
        <v>0.123</v>
      </c>
      <c r="I5" s="20">
        <f>G5/$B$2</f>
        <v/>
      </c>
      <c r="J5" s="5">
        <f>(F5-E5)*D5</f>
        <v/>
      </c>
      <c r="K5" s="20">
        <f>IF(E5=0,0,(F5-E5)/E5)</f>
        <v/>
      </c>
      <c r="L5" s="10" t="n">
        <v>2.3</v>
      </c>
      <c r="M5" s="10" t="n">
        <v>2.9</v>
      </c>
      <c r="N5" s="20">
        <f>IF(L5="","",(F5-L5)/L5)</f>
        <v/>
      </c>
      <c r="O5" s="10">
        <f>IF(L5="","—",IF(F5&lt;=L5,"🔴止损",IF(F5&gt;=M5,"🟢止盈","⚪正常")))</f>
        <v/>
      </c>
      <c r="P5" s="10" t="inlineStr">
        <is>
          <t>跌破→减20% / 涨破→再减20%</t>
        </is>
      </c>
    </row>
    <row r="6">
      <c r="A6" s="4" t="n">
        <v>2</v>
      </c>
      <c r="B6" s="4" t="inlineStr">
        <is>
          <t>AI智能ETF</t>
        </is>
      </c>
      <c r="C6" s="4" t="inlineStr">
        <is>
          <t>159819</t>
        </is>
      </c>
      <c r="D6" s="5" t="n">
        <v>27625</v>
      </c>
      <c r="E6" s="19" t="n">
        <v>1.5</v>
      </c>
      <c r="F6" s="19" t="n">
        <v>1.82</v>
      </c>
      <c r="G6" s="5">
        <f>D6*F6</f>
        <v/>
      </c>
      <c r="H6" s="20" t="n">
        <v>0.116</v>
      </c>
      <c r="I6" s="20">
        <f>G6/$B$2</f>
        <v/>
      </c>
      <c r="J6" s="5">
        <f>(F6-E6)*D6</f>
        <v/>
      </c>
      <c r="K6" s="20">
        <f>IF(E6=0,0,(F6-E6)/E6)</f>
        <v/>
      </c>
      <c r="L6" s="10" t="n">
        <v>1.65</v>
      </c>
      <c r="M6" s="10" t="n">
        <v>2</v>
      </c>
      <c r="N6" s="20">
        <f>IF(L6="","",(F6-L6)/L6)</f>
        <v/>
      </c>
      <c r="O6" s="10">
        <f>IF(L6="","—",IF(F6&lt;=L6,"🔴止损",IF(F6&gt;=M6,"🟢止盈","⚪正常")))</f>
        <v/>
      </c>
      <c r="P6" s="10" t="inlineStr">
        <is>
          <t>跌破→减20% / 涨破→再减20%</t>
        </is>
      </c>
    </row>
    <row r="7">
      <c r="A7" s="4" t="n">
        <v>3</v>
      </c>
      <c r="B7" s="4" t="inlineStr">
        <is>
          <t>通信ETF</t>
        </is>
      </c>
      <c r="C7" s="4" t="inlineStr">
        <is>
          <t>515880</t>
        </is>
      </c>
      <c r="D7" s="5" t="n">
        <v>44775</v>
      </c>
      <c r="E7" s="19" t="n">
        <v>0.506</v>
      </c>
      <c r="F7" s="19" t="n">
        <v>0.659</v>
      </c>
      <c r="G7" s="5">
        <f>D7*F7</f>
        <v/>
      </c>
      <c r="H7" s="20" t="n">
        <v>0.068</v>
      </c>
      <c r="I7" s="20">
        <f>G7/$B$2</f>
        <v/>
      </c>
      <c r="J7" s="5">
        <f>(F7-E7)*D7</f>
        <v/>
      </c>
      <c r="K7" s="20">
        <f>IF(E7=0,0,(F7-E7)/E7)</f>
        <v/>
      </c>
      <c r="L7" s="10" t="n">
        <v>0.62</v>
      </c>
      <c r="M7" s="10" t="n">
        <v>0.75</v>
      </c>
      <c r="N7" s="20">
        <f>IF(L7="","",(F7-L7)/L7)</f>
        <v/>
      </c>
      <c r="O7" s="10">
        <f>IF(L7="","—",IF(F7&lt;=L7,"🔴止损",IF(F7&gt;=M7,"🟢止盈","⚪正常")))</f>
        <v/>
      </c>
      <c r="P7" s="10" t="inlineStr">
        <is>
          <t>跌破→减30% / 涨破→减30%</t>
        </is>
      </c>
    </row>
    <row r="8">
      <c r="A8" s="4" t="n">
        <v>4</v>
      </c>
      <c r="B8" s="4" t="inlineStr">
        <is>
          <t>景旺电子</t>
        </is>
      </c>
      <c r="C8" s="4" t="inlineStr">
        <is>
          <t>603228</t>
        </is>
      </c>
      <c r="D8" s="5" t="n">
        <v>600</v>
      </c>
      <c r="E8" s="19" t="n">
        <v>79.88200000000001</v>
      </c>
      <c r="F8" s="19" t="n">
        <v>71.7</v>
      </c>
      <c r="G8" s="5">
        <f>D8*F8</f>
        <v/>
      </c>
      <c r="H8" s="20" t="n">
        <v>0.099</v>
      </c>
      <c r="I8" s="20">
        <f>G8/$B$2</f>
        <v/>
      </c>
      <c r="J8" s="5">
        <f>(F8-E8)*D8</f>
        <v/>
      </c>
      <c r="K8" s="20">
        <f>IF(E8=0,0,(F8-E8)/E8)</f>
        <v/>
      </c>
      <c r="L8" s="10" t="n">
        <v>68</v>
      </c>
      <c r="M8" s="10" t="n">
        <v>85</v>
      </c>
      <c r="N8" s="20">
        <f>IF(L8="","",(F8-L8)/L8)</f>
        <v/>
      </c>
      <c r="O8" s="10">
        <f>IF(L8="","—",IF(F8&lt;=L8,"🔴止损",IF(F8&gt;=M8,"🟢止盈","⚪正常")))</f>
        <v/>
      </c>
      <c r="P8" s="10" t="inlineStr">
        <is>
          <t>跌破→减50% / 涨破→减30%</t>
        </is>
      </c>
    </row>
    <row r="9">
      <c r="A9" s="4" t="n">
        <v>5</v>
      </c>
      <c r="B9" s="4" t="inlineStr">
        <is>
          <t>东山精密</t>
        </is>
      </c>
      <c r="C9" s="4" t="inlineStr">
        <is>
          <t>002384</t>
        </is>
      </c>
      <c r="D9" s="5" t="n">
        <v>200</v>
      </c>
      <c r="E9" s="19" t="n">
        <v>249.537</v>
      </c>
      <c r="F9" s="19" t="n">
        <v>241.92</v>
      </c>
      <c r="G9" s="5">
        <f>D9*F9</f>
        <v/>
      </c>
      <c r="H9" s="20" t="n">
        <v>0.112</v>
      </c>
      <c r="I9" s="20">
        <f>G9/$B$2</f>
        <v/>
      </c>
      <c r="J9" s="5">
        <f>(F9-E9)*D9</f>
        <v/>
      </c>
      <c r="K9" s="20">
        <f>IF(E9=0,0,(F9-E9)/E9)</f>
        <v/>
      </c>
      <c r="L9" s="10" t="n">
        <v>230</v>
      </c>
      <c r="M9" s="10" t="n">
        <v>270</v>
      </c>
      <c r="N9" s="20">
        <f>IF(L9="","",(F9-L9)/L9)</f>
        <v/>
      </c>
      <c r="O9" s="10">
        <f>IF(L9="","—",IF(F9&lt;=L9,"🔴止损",IF(F9&gt;=M9,"🟢止盈","⚪正常")))</f>
        <v/>
      </c>
      <c r="P9" s="10" t="inlineStr">
        <is>
          <t>跌破→清仓 / 涨破→减30%</t>
        </is>
      </c>
    </row>
    <row r="10">
      <c r="A10" s="4" t="n">
        <v>6</v>
      </c>
      <c r="B10" s="4" t="inlineStr">
        <is>
          <t>立讯精密</t>
        </is>
      </c>
      <c r="C10" s="4" t="inlineStr">
        <is>
          <t>002475</t>
        </is>
      </c>
      <c r="D10" s="5" t="n">
        <v>800</v>
      </c>
      <c r="E10" s="19" t="n">
        <v>69.398</v>
      </c>
      <c r="F10" s="19" t="n">
        <v>58.05</v>
      </c>
      <c r="G10" s="5">
        <f>D10*F10</f>
        <v/>
      </c>
      <c r="H10" s="20" t="n">
        <v>0.107</v>
      </c>
      <c r="I10" s="20">
        <f>G10/$B$2</f>
        <v/>
      </c>
      <c r="J10" s="5">
        <f>(F10-E10)*D10</f>
        <v/>
      </c>
      <c r="K10" s="20">
        <f>IF(E10=0,0,(F10-E10)/E10)</f>
        <v/>
      </c>
      <c r="L10" s="10" t="n">
        <v>54</v>
      </c>
      <c r="M10" s="10" t="n">
        <v>72</v>
      </c>
      <c r="N10" s="20">
        <f>IF(L10="","",(F10-L10)/L10)</f>
        <v/>
      </c>
      <c r="O10" s="10">
        <f>IF(L10="","—",IF(F10&lt;=L10,"🔴止损",IF(F10&gt;=M10,"🟢止盈","⚪正常")))</f>
        <v/>
      </c>
      <c r="P10" s="10" t="inlineStr">
        <is>
          <t>跌破→减50% / 涨破→减30%</t>
        </is>
      </c>
    </row>
    <row r="11">
      <c r="A11" s="4" t="n">
        <v>7</v>
      </c>
      <c r="B11" s="4" t="inlineStr">
        <is>
          <t>通富微电</t>
        </is>
      </c>
      <c r="C11" s="4" t="inlineStr">
        <is>
          <t>002156</t>
        </is>
      </c>
      <c r="D11" s="5" t="n">
        <v>400</v>
      </c>
      <c r="E11" s="19" t="n">
        <v>78.211</v>
      </c>
      <c r="F11" s="19" t="n">
        <v>68.36</v>
      </c>
      <c r="G11" s="5">
        <f>D11*F11</f>
        <v/>
      </c>
      <c r="H11" s="20" t="n">
        <v>0.063</v>
      </c>
      <c r="I11" s="20">
        <f>G11/$B$2</f>
        <v/>
      </c>
      <c r="J11" s="5">
        <f>(F11-E11)*D11</f>
        <v/>
      </c>
      <c r="K11" s="20">
        <f>IF(E11=0,0,(F11-E11)/E11)</f>
        <v/>
      </c>
      <c r="L11" s="10" t="n">
        <v>62</v>
      </c>
      <c r="M11" s="10" t="n">
        <v>82</v>
      </c>
      <c r="N11" s="20">
        <f>IF(L11="","",(F11-L11)/L11)</f>
        <v/>
      </c>
      <c r="O11" s="10">
        <f>IF(L11="","—",IF(F11&lt;=L11,"🔴止损",IF(F11&gt;=M11,"🟢止盈","⚪正常")))</f>
        <v/>
      </c>
      <c r="P11" s="10" t="inlineStr">
        <is>
          <t>跌破→清仓 / 涨破→减30%</t>
        </is>
      </c>
    </row>
    <row r="12">
      <c r="A12" s="4" t="n">
        <v>8</v>
      </c>
      <c r="B12" s="4" t="inlineStr">
        <is>
          <t>生益科技</t>
        </is>
      </c>
      <c r="C12" s="4" t="inlineStr">
        <is>
          <t>600183</t>
        </is>
      </c>
      <c r="D12" s="5" t="n">
        <v>150</v>
      </c>
      <c r="E12" s="19" t="n">
        <v>185.479</v>
      </c>
      <c r="F12" s="19" t="n">
        <v>132.29</v>
      </c>
      <c r="G12" s="5">
        <f>D12*F12</f>
        <v/>
      </c>
      <c r="H12" s="20" t="n">
        <v>0.046</v>
      </c>
      <c r="I12" s="20">
        <f>G12/$B$2</f>
        <v/>
      </c>
      <c r="J12" s="5">
        <f>(F12-E12)*D12</f>
        <v/>
      </c>
      <c r="K12" s="20">
        <f>IF(E12=0,0,(F12-E12)/E12)</f>
        <v/>
      </c>
      <c r="L12" s="10" t="n">
        <v>120</v>
      </c>
      <c r="M12" s="10" t="n">
        <v>160</v>
      </c>
      <c r="N12" s="20">
        <f>IF(L12="","",(F12-L12)/L12)</f>
        <v/>
      </c>
      <c r="O12" s="10">
        <f>IF(L12="","—",IF(F12&lt;=L12,"🔴止损",IF(F12&gt;=M12,"🟢止盈","⚪正常")))</f>
        <v/>
      </c>
      <c r="P12" s="10" t="inlineStr">
        <is>
          <t>跌破→清仓 / 回本→清仓</t>
        </is>
      </c>
    </row>
    <row r="13">
      <c r="A13" s="4" t="n">
        <v>9</v>
      </c>
      <c r="B13" s="4" t="inlineStr">
        <is>
          <t>红利ETF</t>
        </is>
      </c>
      <c r="C13" s="4" t="inlineStr">
        <is>
          <t>510880</t>
        </is>
      </c>
      <c r="D13" s="5" t="n">
        <v>7000</v>
      </c>
      <c r="E13" s="19" t="n">
        <v>3.15</v>
      </c>
      <c r="F13" s="19" t="n">
        <v>3.135</v>
      </c>
      <c r="G13" s="5">
        <f>D13*F13</f>
        <v/>
      </c>
      <c r="H13" s="20" t="n">
        <v>0.051</v>
      </c>
      <c r="I13" s="20">
        <f>G13/$B$2</f>
        <v/>
      </c>
      <c r="J13" s="5">
        <f>(F13-E13)*D13</f>
        <v/>
      </c>
      <c r="K13" s="20">
        <f>IF(E13=0,0,(F13-E13)/E13)</f>
        <v/>
      </c>
      <c r="L13" s="10" t="n">
        <v>2.9</v>
      </c>
      <c r="M13" s="10" t="n">
        <v>3.5</v>
      </c>
      <c r="N13" s="20">
        <f>IF(L13="","",(F13-L13)/L13)</f>
        <v/>
      </c>
      <c r="O13" s="10">
        <f>IF(L13="","—",IF(F13&lt;=L13,"🔴止损",IF(F13&gt;=M13,"🟢止盈","⚪正常")))</f>
        <v/>
      </c>
      <c r="P13" s="10" t="inlineStr">
        <is>
          <t>跌破→观望 / 涨破→持有</t>
        </is>
      </c>
    </row>
    <row r="14">
      <c r="A14" s="4" t="n">
        <v>10</v>
      </c>
      <c r="B14" s="4" t="inlineStr">
        <is>
          <t>沪深300ETF</t>
        </is>
      </c>
      <c r="C14" s="4" t="inlineStr">
        <is>
          <t>510300</t>
        </is>
      </c>
      <c r="D14" s="5" t="n">
        <v>3250</v>
      </c>
      <c r="E14" s="19" t="n">
        <v>4</v>
      </c>
      <c r="F14" s="19" t="n">
        <v>4.589</v>
      </c>
      <c r="G14" s="5">
        <f>D14*F14</f>
        <v/>
      </c>
      <c r="H14" s="20" t="n">
        <v>0.03</v>
      </c>
      <c r="I14" s="20">
        <f>G14/$B$2</f>
        <v/>
      </c>
      <c r="J14" s="5">
        <f>(F14-E14)*D14</f>
        <v/>
      </c>
      <c r="K14" s="20">
        <f>IF(E14=0,0,(F14-E14)/E14)</f>
        <v/>
      </c>
      <c r="L14" s="10" t="n">
        <v>3.7</v>
      </c>
      <c r="M14" s="10" t="n">
        <v>4.4</v>
      </c>
      <c r="N14" s="20">
        <f>IF(L14="","",(F14-L14)/L14)</f>
        <v/>
      </c>
      <c r="O14" s="10">
        <f>IF(L14="","—",IF(F14&lt;=L14,"🔴止损",IF(F14&gt;=M14,"🟢止盈","⚪正常")))</f>
        <v/>
      </c>
      <c r="P14" s="10" t="inlineStr">
        <is>
          <t>跌破→观望 / 涨破→持有</t>
        </is>
      </c>
    </row>
    <row r="15">
      <c r="A15" s="4" t="n">
        <v>11</v>
      </c>
      <c r="B15" s="4" t="inlineStr">
        <is>
          <t>货币基金</t>
        </is>
      </c>
      <c r="C15" s="4" t="inlineStr">
        <is>
          <t>—</t>
        </is>
      </c>
      <c r="D15" s="5" t="n">
        <v>0</v>
      </c>
      <c r="E15" s="19" t="n">
        <v>1</v>
      </c>
      <c r="F15" s="19" t="n">
        <v>1</v>
      </c>
      <c r="G15" s="5" t="n">
        <v>80956</v>
      </c>
      <c r="H15" s="20" t="n">
        <v>0.187</v>
      </c>
      <c r="I15" s="20">
        <f>G15/$B$2</f>
        <v/>
      </c>
      <c r="J15" s="5" t="n">
        <v>0</v>
      </c>
      <c r="K15" s="20" t="n">
        <v>0</v>
      </c>
      <c r="L15" s="10" t="inlineStr"/>
      <c r="M15" s="10" t="inlineStr"/>
      <c r="N15" s="10" t="inlineStr">
        <is>
          <t>—</t>
        </is>
      </c>
      <c r="O15" s="10" t="inlineStr">
        <is>
          <t>—</t>
        </is>
      </c>
      <c r="P15" s="10" t="inlineStr">
        <is>
          <t>— / 企稳后回补ETF</t>
        </is>
      </c>
    </row>
    <row r="16">
      <c r="A16" s="4" t="n"/>
      <c r="B16" s="12" t="inlineStr">
        <is>
          <t>合计</t>
        </is>
      </c>
      <c r="C16" s="4" t="n"/>
      <c r="D16" s="10" t="n"/>
      <c r="E16" s="10" t="n"/>
      <c r="F16" s="10" t="n"/>
      <c r="G16" s="5">
        <f>SUM(G5:G15)</f>
        <v/>
      </c>
      <c r="H16" s="10" t="n"/>
      <c r="I16" s="20">
        <f>SUM(I5:I15)</f>
        <v/>
      </c>
      <c r="J16" s="5">
        <f>SUM(J5:J15)</f>
        <v/>
      </c>
      <c r="K16" s="10" t="n"/>
      <c r="L16" s="10" t="n"/>
      <c r="M16" s="10" t="n"/>
      <c r="N16" s="10" t="n"/>
      <c r="O16" s="10" t="n"/>
      <c r="P16" s="10" t="n"/>
    </row>
    <row r="19">
      <c r="A19" s="1" t="inlineStr">
        <is>
          <t>调仓操作清单</t>
        </is>
      </c>
    </row>
    <row r="20">
      <c r="A20" s="3" t="inlineStr">
        <is>
          <t>操作</t>
        </is>
      </c>
      <c r="B20" s="3" t="inlineStr">
        <is>
          <t>标的</t>
        </is>
      </c>
      <c r="C20" s="3" t="inlineStr">
        <is>
          <t>代码</t>
        </is>
      </c>
      <c r="D20" s="3" t="inlineStr">
        <is>
          <t>数量</t>
        </is>
      </c>
      <c r="E20" s="3" t="inlineStr">
        <is>
          <t>预估金额(元)</t>
        </is>
      </c>
      <c r="F20" s="3" t="inlineStr">
        <is>
          <t>备注</t>
        </is>
      </c>
    </row>
    <row r="21">
      <c r="A21" s="13" t="inlineStr">
        <is>
          <t>清仓</t>
        </is>
      </c>
      <c r="B21" s="13" t="inlineStr">
        <is>
          <t>亨通光电</t>
        </is>
      </c>
      <c r="C21" s="13" t="inlineStr">
        <is>
          <t>600487</t>
        </is>
      </c>
      <c r="D21" s="13" t="inlineStr">
        <is>
          <t>500股</t>
        </is>
      </c>
      <c r="E21" s="14" t="n">
        <v>29195</v>
      </c>
      <c r="F21" s="13" t="inlineStr">
        <is>
          <t>止损 -47%</t>
        </is>
      </c>
    </row>
    <row r="22">
      <c r="A22" s="13" t="inlineStr">
        <is>
          <t>清仓</t>
        </is>
      </c>
      <c r="B22" s="13" t="inlineStr">
        <is>
          <t>福晶科技</t>
        </is>
      </c>
      <c r="C22" s="13" t="inlineStr">
        <is>
          <t>002222</t>
        </is>
      </c>
      <c r="D22" s="13" t="inlineStr">
        <is>
          <t>100股</t>
        </is>
      </c>
      <c r="E22" s="14" t="n">
        <v>6005</v>
      </c>
      <c r="F22" s="13" t="inlineStr">
        <is>
          <t>简化组合</t>
        </is>
      </c>
    </row>
    <row r="23">
      <c r="A23" s="13" t="inlineStr">
        <is>
          <t>清仓</t>
        </is>
      </c>
      <c r="B23" s="13" t="inlineStr">
        <is>
          <t>平安电工</t>
        </is>
      </c>
      <c r="C23" s="13" t="inlineStr">
        <is>
          <t>001359</t>
        </is>
      </c>
      <c r="D23" s="13" t="inlineStr">
        <is>
          <t>300股</t>
        </is>
      </c>
      <c r="E23" s="14" t="n">
        <v>28857</v>
      </c>
      <c r="F23" s="13" t="inlineStr">
        <is>
          <t>PCB冗余</t>
        </is>
      </c>
    </row>
    <row r="24">
      <c r="A24" s="13" t="inlineStr">
        <is>
          <t>减仓50%</t>
        </is>
      </c>
      <c r="B24" s="13" t="inlineStr">
        <is>
          <t>生益科技</t>
        </is>
      </c>
      <c r="C24" s="13" t="inlineStr">
        <is>
          <t>600183</t>
        </is>
      </c>
      <c r="D24" s="13" t="inlineStr">
        <is>
          <t>150股</t>
        </is>
      </c>
      <c r="E24" s="14" t="n">
        <v>19844</v>
      </c>
      <c r="F24" s="13" t="inlineStr">
        <is>
          <t>保留150股</t>
        </is>
      </c>
    </row>
    <row r="25">
      <c r="A25" s="13" t="inlineStr">
        <is>
          <t>减仓20%</t>
        </is>
      </c>
      <c r="B25" s="13" t="inlineStr">
        <is>
          <t>科创芯片ETF</t>
        </is>
      </c>
      <c r="C25" s="13" t="inlineStr">
        <is>
          <t>588810</t>
        </is>
      </c>
      <c r="D25" s="13" t="inlineStr">
        <is>
          <t>5220份</t>
        </is>
      </c>
      <c r="E25" s="14" t="n">
        <v>13348</v>
      </c>
      <c r="F25" s="13" t="inlineStr">
        <is>
          <t>小幅止盈</t>
        </is>
      </c>
    </row>
    <row r="26">
      <c r="A26" s="13" t="inlineStr">
        <is>
          <t>减仓15%</t>
        </is>
      </c>
      <c r="B26" s="13" t="inlineStr">
        <is>
          <t>AI智能ETF</t>
        </is>
      </c>
      <c r="C26" s="13" t="inlineStr">
        <is>
          <t>159819</t>
        </is>
      </c>
      <c r="D26" s="13" t="inlineStr">
        <is>
          <t>4875份</t>
        </is>
      </c>
      <c r="E26" s="14" t="n">
        <v>8873</v>
      </c>
      <c r="F26" s="13" t="inlineStr">
        <is>
          <t>小幅止盈</t>
        </is>
      </c>
    </row>
    <row r="27">
      <c r="A27" s="13" t="inlineStr">
        <is>
          <t>减仓25%</t>
        </is>
      </c>
      <c r="B27" s="13" t="inlineStr">
        <is>
          <t>通信ETF</t>
        </is>
      </c>
      <c r="C27" s="13" t="inlineStr">
        <is>
          <t>515880</t>
        </is>
      </c>
      <c r="D27" s="13" t="inlineStr">
        <is>
          <t>14925份</t>
        </is>
      </c>
      <c r="E27" s="14" t="n">
        <v>9836</v>
      </c>
      <c r="F27" s="13" t="inlineStr">
        <is>
          <t>情绪弱</t>
        </is>
      </c>
    </row>
    <row r="28">
      <c r="A28" s="13" t="inlineStr">
        <is>
          <t>买入</t>
        </is>
      </c>
      <c r="B28" s="13" t="inlineStr">
        <is>
          <t>红利ETF</t>
        </is>
      </c>
      <c r="C28" s="13" t="inlineStr">
        <is>
          <t>510880</t>
        </is>
      </c>
      <c r="D28" s="13" t="inlineStr">
        <is>
          <t>7000份</t>
        </is>
      </c>
      <c r="E28" s="14" t="n">
        <v>22050</v>
      </c>
      <c r="F28" s="13" t="inlineStr">
        <is>
          <t>防御仓位5%</t>
        </is>
      </c>
    </row>
    <row r="29">
      <c r="A29" s="13" t="inlineStr">
        <is>
          <t>买入</t>
        </is>
      </c>
      <c r="B29" s="13" t="inlineStr">
        <is>
          <t>沪深300ETF</t>
        </is>
      </c>
      <c r="C29" s="13" t="inlineStr">
        <is>
          <t>510300</t>
        </is>
      </c>
      <c r="D29" s="13" t="inlineStr">
        <is>
          <t>3250份</t>
        </is>
      </c>
      <c r="E29" s="14" t="n">
        <v>13000</v>
      </c>
      <c r="F29" s="13" t="inlineStr">
        <is>
          <t>防御仓位3%</t>
        </is>
      </c>
    </row>
    <row r="30">
      <c r="A30" s="13" t="inlineStr">
        <is>
          <t>持币</t>
        </is>
      </c>
      <c r="B30" s="13" t="inlineStr">
        <is>
          <t>货币基金</t>
        </is>
      </c>
      <c r="C30" s="13" t="inlineStr">
        <is>
          <t>—</t>
        </is>
      </c>
      <c r="D30" s="13" t="inlineStr">
        <is>
          <t>—</t>
        </is>
      </c>
      <c r="E30" s="14" t="n">
        <v>80956</v>
      </c>
      <c r="F30" s="13" t="inlineStr">
        <is>
          <t>机动储备19%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</cols>
  <sheetData>
    <row r="1">
      <c r="A1" s="1" t="inlineStr">
        <is>
          <t>每日监控表 — 更新现价后自动判断</t>
        </is>
      </c>
    </row>
    <row r="2">
      <c r="A2" t="inlineStr">
        <is>
          <t>选择方案：</t>
        </is>
      </c>
      <c r="B2" t="inlineStr">
        <is>
          <t>稳健版</t>
        </is>
      </c>
      <c r="C2" t="inlineStr">
        <is>
          <t>（可改为：激进版）</t>
        </is>
      </c>
    </row>
    <row r="3">
      <c r="A3" t="inlineStr">
        <is>
          <t>监控日期：</t>
        </is>
      </c>
      <c r="B3" t="inlineStr">
        <is>
          <t>2026-07-19 06:52</t>
        </is>
      </c>
    </row>
    <row r="4">
      <c r="A4" t="inlineStr">
        <is>
          <t>沪指收盘：</t>
        </is>
      </c>
      <c r="B4" s="21" t="n">
        <v>3764.155</v>
      </c>
    </row>
    <row r="5">
      <c r="A5" t="inlineStr">
        <is>
          <t>跌停家数：</t>
        </is>
      </c>
      <c r="B5" t="n">
        <v>198</v>
      </c>
    </row>
    <row r="7">
      <c r="A7" s="3" t="inlineStr">
        <is>
          <t>标的</t>
        </is>
      </c>
      <c r="B7" s="3" t="inlineStr">
        <is>
          <t>代码</t>
        </is>
      </c>
      <c r="C7" s="3" t="inlineStr">
        <is>
          <t>持股数量</t>
        </is>
      </c>
      <c r="D7" s="3" t="inlineStr">
        <is>
          <t>成本价</t>
        </is>
      </c>
      <c r="E7" s="3" t="inlineStr">
        <is>
          <t>现价</t>
        </is>
      </c>
      <c r="F7" s="3" t="inlineStr">
        <is>
          <t>止损价</t>
        </is>
      </c>
      <c r="G7" s="3" t="inlineStr">
        <is>
          <t>止盈价</t>
        </is>
      </c>
      <c r="H7" s="3" t="inlineStr">
        <is>
          <t>距止损%</t>
        </is>
      </c>
      <c r="I7" s="3" t="inlineStr">
        <is>
          <t>距止盈%</t>
        </is>
      </c>
      <c r="J7" s="3" t="inlineStr">
        <is>
          <t>触发状态</t>
        </is>
      </c>
      <c r="K7" s="3" t="inlineStr">
        <is>
          <t>建议操作</t>
        </is>
      </c>
    </row>
    <row r="8">
      <c r="A8" s="4" t="inlineStr">
        <is>
          <t>科创芯片ETF</t>
        </is>
      </c>
      <c r="B8" s="4" t="inlineStr">
        <is>
          <t>588810</t>
        </is>
      </c>
      <c r="C8" s="4" t="n">
        <v>14355</v>
      </c>
      <c r="D8" s="10" t="n">
        <v>1.905</v>
      </c>
      <c r="E8" s="10" t="n">
        <v>2.557</v>
      </c>
      <c r="F8" s="10" t="n">
        <v>2.2</v>
      </c>
      <c r="G8" s="10" t="n">
        <v>2.8</v>
      </c>
      <c r="H8" s="20">
        <f>IF(F8=0,"",(E8-F8)/F8)</f>
        <v/>
      </c>
      <c r="I8" s="20">
        <f>IF(G8=0,"",(G8-E8)/E8)</f>
        <v/>
      </c>
      <c r="J8" s="10">
        <f>IF(E8&lt;=F8,"🔴止损",IF(E8&gt;=G8,"🟢止盈",IF(H8&lt;0.03,"🟡预警","⚪正常")))</f>
        <v/>
      </c>
      <c r="K8" s="10">
        <f>IF(J8="🔴止损","执行：跌破→清仓",IF(J8="🟢止盈","执行：涨破→减至5%",IF(J8="🟡预警","准备操作，密切关注","持有不动")))</f>
        <v/>
      </c>
    </row>
    <row r="9">
      <c r="A9" s="4" t="inlineStr">
        <is>
          <t>AI智能ETF</t>
        </is>
      </c>
      <c r="B9" s="4" t="inlineStr">
        <is>
          <t>159819</t>
        </is>
      </c>
      <c r="C9" s="4" t="n">
        <v>16250</v>
      </c>
      <c r="D9" s="10" t="n">
        <v>1.5</v>
      </c>
      <c r="E9" s="10" t="n">
        <v>1.82</v>
      </c>
      <c r="F9" s="10" t="n">
        <v>1.6</v>
      </c>
      <c r="G9" s="10" t="n">
        <v>1.95</v>
      </c>
      <c r="H9" s="20">
        <f>IF(F9=0,"",(E9-F9)/F9)</f>
        <v/>
      </c>
      <c r="I9" s="20">
        <f>IF(G9=0,"",(G9-E9)/E9)</f>
        <v/>
      </c>
      <c r="J9" s="10">
        <f>IF(E9&lt;=F9,"🔴止损",IF(E9&gt;=G9,"🟢止盈",IF(H9&lt;0.03,"🟡预警","⚪正常")))</f>
        <v/>
      </c>
      <c r="K9" s="10">
        <f>IF(J9="🔴止损","执行：跌破→清仓",IF(J9="🟢止盈","执行：涨破→减至4%",IF(J9="🟡预警","准备操作，密切关注","持有不动")))</f>
        <v/>
      </c>
    </row>
    <row r="10">
      <c r="A10" s="4" t="inlineStr">
        <is>
          <t>通信ETF</t>
        </is>
      </c>
      <c r="B10" s="4" t="inlineStr">
        <is>
          <t>515880</t>
        </is>
      </c>
      <c r="C10" s="4" t="n">
        <v>26865</v>
      </c>
      <c r="D10" s="10" t="n">
        <v>0.506</v>
      </c>
      <c r="E10" s="10" t="n">
        <v>0.659</v>
      </c>
      <c r="F10" s="10" t="n">
        <v>0.6</v>
      </c>
      <c r="G10" s="10" t="n">
        <v>0.72</v>
      </c>
      <c r="H10" s="20">
        <f>IF(F10=0,"",(E10-F10)/F10)</f>
        <v/>
      </c>
      <c r="I10" s="20">
        <f>IF(G10=0,"",(G10-E10)/E10)</f>
        <v/>
      </c>
      <c r="J10" s="10">
        <f>IF(E10&lt;=F10,"🔴止损",IF(E10&gt;=G10,"🟢止盈",IF(H10&lt;0.03,"🟡预警","⚪正常")))</f>
        <v/>
      </c>
      <c r="K10" s="10">
        <f>IF(J10="🔴止损","执行：跌破→清仓",IF(J10="🟢止盈","执行：涨破→减至3%",IF(J10="🟡预警","准备操作，密切关注","持有不动")))</f>
        <v/>
      </c>
    </row>
    <row r="11">
      <c r="A11" s="4" t="inlineStr">
        <is>
          <t>景旺电子</t>
        </is>
      </c>
      <c r="B11" s="4" t="inlineStr">
        <is>
          <t>603228</t>
        </is>
      </c>
      <c r="C11" s="4" t="n">
        <v>600</v>
      </c>
      <c r="D11" s="10" t="n">
        <v>79.88200000000001</v>
      </c>
      <c r="E11" s="10" t="n">
        <v>71.7</v>
      </c>
      <c r="F11" s="10" t="n">
        <v>66</v>
      </c>
      <c r="G11" s="10" t="n">
        <v>80</v>
      </c>
      <c r="H11" s="20">
        <f>IF(F11=0,"",(E11-F11)/F11)</f>
        <v/>
      </c>
      <c r="I11" s="20">
        <f>IF(G11=0,"",(G11-E11)/E11)</f>
        <v/>
      </c>
      <c r="J11" s="10">
        <f>IF(E11&lt;=F11,"🔴止损",IF(E11&gt;=G11,"🟢止盈",IF(H11&lt;0.03,"🟡预警","⚪正常")))</f>
        <v/>
      </c>
      <c r="K11" s="10">
        <f>IF(J11="🔴止损","执行：跌破→清仓",IF(J11="🟢止盈","执行：涨破→减50%",IF(J11="🟡预警","准备操作，密切关注","持有不动")))</f>
        <v/>
      </c>
    </row>
    <row r="12">
      <c r="A12" s="4" t="inlineStr">
        <is>
          <t>立讯精密</t>
        </is>
      </c>
      <c r="B12" s="4" t="inlineStr">
        <is>
          <t>002475</t>
        </is>
      </c>
      <c r="C12" s="4" t="n">
        <v>800</v>
      </c>
      <c r="D12" s="10" t="n">
        <v>69.398</v>
      </c>
      <c r="E12" s="10" t="n">
        <v>58.05</v>
      </c>
      <c r="F12" s="10" t="n">
        <v>52</v>
      </c>
      <c r="G12" s="10" t="n">
        <v>68</v>
      </c>
      <c r="H12" s="20">
        <f>IF(F12=0,"",(E12-F12)/F12)</f>
        <v/>
      </c>
      <c r="I12" s="20">
        <f>IF(G12=0,"",(G12-E12)/E12)</f>
        <v/>
      </c>
      <c r="J12" s="10">
        <f>IF(E12&lt;=F12,"🔴止损",IF(E12&gt;=G12,"🟢止盈",IF(H12&lt;0.03,"🟡预警","⚪正常")))</f>
        <v/>
      </c>
      <c r="K12" s="10">
        <f>IF(J12="🔴止损","执行：跌破→清仓",IF(J12="🟢止盈","执行：涨破→减50%",IF(J12="🟡预警","准备操作，密切关注","持有不动")))</f>
        <v/>
      </c>
    </row>
    <row r="13">
      <c r="A13" s="4" t="inlineStr">
        <is>
          <t>东山精密</t>
        </is>
      </c>
      <c r="B13" s="4" t="inlineStr">
        <is>
          <t>002384</t>
        </is>
      </c>
      <c r="C13" s="4" t="n">
        <v>100</v>
      </c>
      <c r="D13" s="10" t="n">
        <v>249.537</v>
      </c>
      <c r="E13" s="10" t="n">
        <v>241.92</v>
      </c>
      <c r="F13" s="10" t="n">
        <v>225</v>
      </c>
      <c r="G13" s="10" t="n">
        <v>260</v>
      </c>
      <c r="H13" s="20">
        <f>IF(F13=0,"",(E13-F13)/F13)</f>
        <v/>
      </c>
      <c r="I13" s="20">
        <f>IF(G13=0,"",(G13-E13)/E13)</f>
        <v/>
      </c>
      <c r="J13" s="10">
        <f>IF(E13&lt;=F13,"🔴止损",IF(E13&gt;=G13,"🟢止盈",IF(H13&lt;0.03,"🟡预警","⚪正常")))</f>
        <v/>
      </c>
      <c r="K13" s="10">
        <f>IF(J13="🔴止损","执行：跌破→清仓",IF(J13="🟢止盈","执行：回本→清仓",IF(J13="🟡预警","准备操作，密切关注","持有不动")))</f>
        <v/>
      </c>
    </row>
    <row r="14">
      <c r="A14" s="4" t="inlineStr">
        <is>
          <t>红利ETF</t>
        </is>
      </c>
      <c r="B14" s="4" t="inlineStr">
        <is>
          <t>510880</t>
        </is>
      </c>
      <c r="C14" s="4" t="n">
        <v>16500</v>
      </c>
      <c r="D14" s="10" t="n">
        <v>3.15</v>
      </c>
      <c r="E14" s="10" t="n">
        <v>3.135</v>
      </c>
      <c r="F14" s="10" t="n">
        <v>2.9</v>
      </c>
      <c r="G14" s="10" t="n">
        <v>3.5</v>
      </c>
      <c r="H14" s="20">
        <f>IF(F14=0,"",(E14-F14)/F14)</f>
        <v/>
      </c>
      <c r="I14" s="20">
        <f>IF(G14=0,"",(G14-E14)/E14)</f>
        <v/>
      </c>
      <c r="J14" s="10">
        <f>IF(E14&lt;=F14,"🔴止损",IF(E14&gt;=G14,"🟢止盈",IF(H14&lt;0.03,"🟡预警","⚪正常")))</f>
        <v/>
      </c>
      <c r="K14" s="10">
        <f>IF(J14="🔴止损","执行：跌破→观望",IF(J14="🟢止盈","执行：涨破→持有",IF(J14="🟡预警","准备操作，密切关注","持有不动")))</f>
        <v/>
      </c>
    </row>
    <row r="15">
      <c r="A15" s="4" t="inlineStr">
        <is>
          <t>沪深300ETF</t>
        </is>
      </c>
      <c r="B15" s="4" t="inlineStr">
        <is>
          <t>510300</t>
        </is>
      </c>
      <c r="C15" s="4" t="n">
        <v>10750</v>
      </c>
      <c r="D15" s="10" t="n">
        <v>4</v>
      </c>
      <c r="E15" s="10" t="n">
        <v>4.589</v>
      </c>
      <c r="F15" s="10" t="n">
        <v>3.7</v>
      </c>
      <c r="G15" s="10" t="n">
        <v>4.4</v>
      </c>
      <c r="H15" s="20">
        <f>IF(F15=0,"",(E15-F15)/F15)</f>
        <v/>
      </c>
      <c r="I15" s="20">
        <f>IF(G15=0,"",(G15-E15)/E15)</f>
        <v/>
      </c>
      <c r="J15" s="10">
        <f>IF(E15&lt;=F15,"🔴止损",IF(E15&gt;=G15,"🟢止盈",IF(H15&lt;0.03,"🟡预警","⚪正常")))</f>
        <v/>
      </c>
      <c r="K15" s="10">
        <f>IF(J15="🔴止损","执行：跌破→观望",IF(J15="🟢止盈","执行：涨破→持有",IF(J15="🟡预警","准备操作，密切关注","持有不动")))</f>
        <v/>
      </c>
    </row>
    <row r="18">
      <c r="A18" s="1" t="inlineStr">
        <is>
          <t>稳健版加仓条件检查</t>
        </is>
      </c>
    </row>
    <row r="19">
      <c r="A19" s="3" t="inlineStr">
        <is>
          <t>条件</t>
        </is>
      </c>
      <c r="B19" s="3" t="inlineStr">
        <is>
          <t>标准</t>
        </is>
      </c>
      <c r="C19" s="3" t="inlineStr">
        <is>
          <t>当前值</t>
        </is>
      </c>
      <c r="D19" s="3" t="inlineStr">
        <is>
          <t>是否满足</t>
        </is>
      </c>
    </row>
    <row r="20">
      <c r="A20" s="13" t="inlineStr">
        <is>
          <t>① 沪指站稳</t>
        </is>
      </c>
      <c r="B20" s="13" t="inlineStr">
        <is>
          <t>连续3日 &gt; 3850</t>
        </is>
      </c>
      <c r="C20" s="13">
        <f>B4</f>
        <v/>
      </c>
      <c r="D20" s="13">
        <f>IF(B4&gt;3850,"✅","❌")</f>
        <v/>
      </c>
    </row>
    <row r="21">
      <c r="A21" s="13" t="inlineStr">
        <is>
          <t>② 跌停减少</t>
        </is>
      </c>
      <c r="B21" s="13" t="inlineStr">
        <is>
          <t>连续2日 &lt; 30家</t>
        </is>
      </c>
      <c r="C21" s="13">
        <f>B5</f>
        <v/>
      </c>
      <c r="D21" s="13">
        <f>IF(B5&lt;30,"✅","❌")</f>
        <v/>
      </c>
    </row>
    <row r="22">
      <c r="A22" s="13" t="inlineStr">
        <is>
          <t>综合判断</t>
        </is>
      </c>
      <c r="B22" s="13" t="inlineStr">
        <is>
          <t>全部满足才加仓</t>
        </is>
      </c>
      <c r="C22" s="13" t="n"/>
      <c r="D22" s="16">
        <f>IF(D20="✅",IF(D21="✅","✅ 可以加仓","❌ 暂不加仓"),"❌ 暂不加仓")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情景压力测试</t>
        </is>
      </c>
    </row>
    <row r="2">
      <c r="A2" t="inlineStr">
        <is>
          <t>当前账户总市值：</t>
        </is>
      </c>
      <c r="B2" s="2" t="n">
        <v>434050</v>
      </c>
    </row>
    <row r="4">
      <c r="A4" s="3" t="inlineStr">
        <is>
          <t>情景</t>
        </is>
      </c>
      <c r="B4" s="3" t="inlineStr">
        <is>
          <t>大盘涨跌</t>
        </is>
      </c>
      <c r="C4" s="3" t="inlineStr">
        <is>
          <t>稳健版账户涨跌</t>
        </is>
      </c>
      <c r="D4" s="3" t="inlineStr">
        <is>
          <t>稳健版盈亏(元)</t>
        </is>
      </c>
      <c r="E4" s="3" t="inlineStr">
        <is>
          <t>激进版账户涨跌</t>
        </is>
      </c>
      <c r="F4" s="3" t="inlineStr">
        <is>
          <t>激进版盈亏(元)</t>
        </is>
      </c>
    </row>
    <row r="5">
      <c r="A5" s="4" t="inlineStr">
        <is>
          <t>极端下跌</t>
        </is>
      </c>
      <c r="B5" s="22" t="n">
        <v>-0.15</v>
      </c>
      <c r="C5" s="22" t="n">
        <v>-0.075</v>
      </c>
      <c r="D5" s="5">
        <f>$B$2*C5</f>
        <v/>
      </c>
      <c r="E5" s="20" t="n">
        <v>-0.115</v>
      </c>
      <c r="F5" s="5">
        <f>$B$2*E5</f>
        <v/>
      </c>
    </row>
    <row r="6">
      <c r="A6" s="4" t="inlineStr">
        <is>
          <t>继续下跌</t>
        </is>
      </c>
      <c r="B6" s="22" t="n">
        <v>-0.1</v>
      </c>
      <c r="C6" s="22" t="n">
        <v>-0.055</v>
      </c>
      <c r="D6" s="5">
        <f>$B$2*C6</f>
        <v/>
      </c>
      <c r="E6" s="20" t="n">
        <v>-0.08500000000000001</v>
      </c>
      <c r="F6" s="5">
        <f>$B$2*E6</f>
        <v/>
      </c>
    </row>
    <row r="7">
      <c r="A7" s="4" t="inlineStr">
        <is>
          <t>震荡</t>
        </is>
      </c>
      <c r="B7" s="22" t="n">
        <v>0.03</v>
      </c>
      <c r="C7" s="22" t="n">
        <v>0.015</v>
      </c>
      <c r="D7" s="5">
        <f>$B$2*C7</f>
        <v/>
      </c>
      <c r="E7" s="20" t="n">
        <v>0.025</v>
      </c>
      <c r="F7" s="5">
        <f>$B$2*E7</f>
        <v/>
      </c>
    </row>
    <row r="8">
      <c r="A8" s="4" t="inlineStr">
        <is>
          <t>超跌反弹</t>
        </is>
      </c>
      <c r="B8" s="22" t="n">
        <v>0.1</v>
      </c>
      <c r="C8" s="22" t="n">
        <v>0.055</v>
      </c>
      <c r="D8" s="5">
        <f>$B$2*C8</f>
        <v/>
      </c>
      <c r="E8" s="20" t="n">
        <v>0.08500000000000001</v>
      </c>
      <c r="F8" s="5">
        <f>$B$2*E8</f>
        <v/>
      </c>
    </row>
    <row r="9">
      <c r="A9" s="4" t="inlineStr">
        <is>
          <t>强势修复</t>
        </is>
      </c>
      <c r="B9" s="22" t="n">
        <v>0.15</v>
      </c>
      <c r="C9" s="22" t="n">
        <v>0.08</v>
      </c>
      <c r="D9" s="5">
        <f>$B$2*C9</f>
        <v/>
      </c>
      <c r="E9" s="20" t="n">
        <v>0.125</v>
      </c>
      <c r="F9" s="5">
        <f>$B$2*E9</f>
        <v/>
      </c>
    </row>
    <row r="12">
      <c r="A12" s="1" t="inlineStr">
        <is>
          <t>自定义情景测算</t>
        </is>
      </c>
    </row>
    <row r="13">
      <c r="A13" t="inlineStr">
        <is>
          <t>输入大盘涨跌（如 -0.1 表示跌10%）：</t>
        </is>
      </c>
      <c r="C13" s="23" t="n">
        <v>-0.1</v>
      </c>
    </row>
    <row r="14">
      <c r="A14" t="inlineStr">
        <is>
          <t>稳健版预估盈亏：</t>
        </is>
      </c>
      <c r="C14" s="2">
        <f>$B$2*C13*0.55</f>
        <v/>
      </c>
      <c r="D14" t="inlineStr">
        <is>
          <t>（科技暴露约45%，贝塔调整系数0.55）</t>
        </is>
      </c>
    </row>
    <row r="15">
      <c r="A15" t="inlineStr">
        <is>
          <t>激进版预估盈亏：</t>
        </is>
      </c>
      <c r="C15" s="2">
        <f>$B$2*C13*0.85</f>
        <v/>
      </c>
      <c r="D15" t="inlineStr">
        <is>
          <t>（科技暴露约73%，贝塔调整系数0.85）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A股持仓跟踪表 — 使用说明</t>
        </is>
      </c>
    </row>
    <row r="2"/>
    <row r="3">
      <c r="A3" s="15" t="inlineStr">
        <is>
          <t>【文件结构】</t>
        </is>
      </c>
    </row>
    <row r="4">
      <c r="A4" t="inlineStr">
        <is>
          <t>1. 当前持仓：优化前的原始持仓，每日更新 F 列「现价」</t>
        </is>
      </c>
    </row>
    <row r="5">
      <c r="A5" t="inlineStr">
        <is>
          <t>2. 稳健版目标持仓：优化后的目标仓位 + 调仓清单 + 止损止盈</t>
        </is>
      </c>
    </row>
    <row r="6">
      <c r="A6" t="inlineStr">
        <is>
          <t>3. 激进版目标持仓：优化后的目标仓位 + 调仓清单 + 止损止盈</t>
        </is>
      </c>
    </row>
    <row r="7">
      <c r="A7" t="inlineStr">
        <is>
          <t>4. 每日监控：收盘后更新现价，自动判断止损/止盈/预警</t>
        </is>
      </c>
    </row>
    <row r="8">
      <c r="A8" t="inlineStr">
        <is>
          <t>5. 情景压力测试：不同市场情景下的盈亏预估</t>
        </is>
      </c>
    </row>
    <row r="9"/>
    <row r="10">
      <c r="A10" s="15" t="inlineStr">
        <is>
          <t>【每日操作流程】</t>
        </is>
      </c>
    </row>
    <row r="11">
      <c r="A11" t="inlineStr">
        <is>
          <t>1. 收盘后打开「每日监控」表</t>
        </is>
      </c>
    </row>
    <row r="12">
      <c r="A12" t="inlineStr">
        <is>
          <t>2. 更新 E 列各标的「现价」</t>
        </is>
      </c>
    </row>
    <row r="13">
      <c r="A13" t="inlineStr">
        <is>
          <t>3. 更新沪指收盘（B4）和跌停家数（B5）</t>
        </is>
      </c>
    </row>
    <row r="14">
      <c r="A14" t="inlineStr">
        <is>
          <t>4. 查看 J 列「触发状态」：</t>
        </is>
      </c>
    </row>
    <row r="15">
      <c r="A15" t="inlineStr">
        <is>
          <t xml:space="preserve">   🔴止损 → 次日开盘执行止损操作</t>
        </is>
      </c>
    </row>
    <row r="16">
      <c r="A16" t="inlineStr">
        <is>
          <t xml:space="preserve">   🟢止盈 → 次日开盘执行止盈操作</t>
        </is>
      </c>
    </row>
    <row r="17">
      <c r="A17" t="inlineStr">
        <is>
          <t xml:space="preserve">   🟡预警 → 距止损不足3%，密切关注</t>
        </is>
      </c>
    </row>
    <row r="18">
      <c r="A18" t="inlineStr">
        <is>
          <t xml:space="preserve">   ⚪正常 → 持有不动</t>
        </is>
      </c>
    </row>
    <row r="19"/>
    <row r="20">
      <c r="A20" s="15" t="inlineStr">
        <is>
          <t>【调仓执行顺序】</t>
        </is>
      </c>
    </row>
    <row r="21">
      <c r="A21" t="inlineStr">
        <is>
          <t>第1步：清仓亨通光电、福晶科技、平安电工（两版共同）</t>
        </is>
      </c>
    </row>
    <row r="22">
      <c r="A22" t="inlineStr">
        <is>
          <t>第2步：按选定版本减仓 ETF 和个股</t>
        </is>
      </c>
    </row>
    <row r="23">
      <c r="A23" t="inlineStr">
        <is>
          <t>第3步：买入红利ETF(510880)和沪深300ETF(510300)</t>
        </is>
      </c>
    </row>
    <row r="24">
      <c r="A24" t="inlineStr">
        <is>
          <t>第4步：剩余资金转入货币基金</t>
        </is>
      </c>
    </row>
    <row r="25"/>
    <row r="26">
      <c r="A26" s="15" t="inlineStr">
        <is>
          <t>【自动更新行情】</t>
        </is>
      </c>
    </row>
    <row r="27">
      <c r="A27" t="inlineStr">
        <is>
          <t>1. 安装依赖：pip install -r requirements.txt</t>
        </is>
      </c>
    </row>
    <row r="28">
      <c r="A28" t="inlineStr">
        <is>
          <t>2. 手动更新：python3 update_portfolio_excel.py</t>
        </is>
      </c>
    </row>
    <row r="29">
      <c r="A29" t="inlineStr">
        <is>
          <t>3. 每日定时：./run_daily_update.sh（建议交易日 15:30 运行）</t>
        </is>
      </c>
    </row>
    <row r="30">
      <c r="A30" t="inlineStr">
        <is>
          <t>4. 更新内容：现价、涨跌幅、上证指数、跌停家数、更新日志</t>
        </is>
      </c>
    </row>
    <row r="31">
      <c r="A31" t="inlineStr">
        <is>
          <t>5. Mac/Linux 定时任务示例：</t>
        </is>
      </c>
    </row>
    <row r="32">
      <c r="A32" t="inlineStr">
        <is>
          <t xml:space="preserve">   30 15 * * 1-5 cd /path/to/workspace &amp;&amp; ./run_daily_update.sh &gt;&gt; update.log 2&gt;&amp;1</t>
        </is>
      </c>
    </row>
    <row r="33"/>
    <row r="34">
      <c r="A34" s="15" t="inlineStr">
        <is>
          <t>【重要提醒】</t>
        </is>
      </c>
    </row>
    <row r="35">
      <c r="A35" t="inlineStr">
        <is>
          <t>• 本表仅为投资辅助工具，不构成投资建议</t>
        </is>
      </c>
    </row>
    <row r="36">
      <c r="A36" t="inlineStr">
        <is>
          <t>• 止损价触发后请严格执行，不要抱幻想</t>
        </is>
      </c>
    </row>
    <row r="37">
      <c r="A37" t="inlineStr">
        <is>
          <t>• 加仓须满足「每日监控」表底部条件检查</t>
        </is>
      </c>
    </row>
    <row r="38">
      <c r="A38" t="inlineStr">
        <is>
          <t>• 红利ETF和沪深300ETF买入价按估算填入，请以实际成交价更新成本</t>
        </is>
      </c>
    </row>
    <row r="39">
      <c r="A39" t="inlineStr">
        <is>
          <t>• 非交易时段/周末运行将获取最近一个交易日收盘数据</t>
        </is>
      </c>
    </row>
    <row r="40"/>
    <row r="41">
      <c r="A41" t="inlineStr">
        <is>
          <t>基准日期：2026-07-17  |  账户总市值：434,050 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更新时间</t>
        </is>
      </c>
      <c r="B1" t="inlineStr">
        <is>
          <t>代码</t>
        </is>
      </c>
      <c r="C1" t="inlineStr">
        <is>
          <t>名称</t>
        </is>
      </c>
      <c r="D1" t="inlineStr">
        <is>
          <t>现价</t>
        </is>
      </c>
      <c r="E1" t="inlineStr">
        <is>
          <t>涨跌幅%</t>
        </is>
      </c>
      <c r="F1" t="inlineStr">
        <is>
          <t>行情日期</t>
        </is>
      </c>
      <c r="G1" t="inlineStr">
        <is>
          <t>数据源</t>
        </is>
      </c>
    </row>
    <row r="2">
      <c r="A2" t="inlineStr">
        <is>
          <t>2026-07-19 06:52:31</t>
        </is>
      </c>
      <c r="B2" t="inlineStr">
        <is>
          <t>588810</t>
        </is>
      </c>
      <c r="C2" t="inlineStr">
        <is>
          <t>科创芯片ETF</t>
        </is>
      </c>
      <c r="D2" t="n">
        <v>2.557</v>
      </c>
      <c r="E2" t="n">
        <v>-8.19</v>
      </c>
      <c r="F2" t="inlineStr">
        <is>
          <t>2026-07-19</t>
        </is>
      </c>
      <c r="G2" t="inlineStr">
        <is>
          <t>fund_etf_spot_em</t>
        </is>
      </c>
    </row>
    <row r="3">
      <c r="A3" t="inlineStr">
        <is>
          <t>2026-07-19 06:52:31</t>
        </is>
      </c>
      <c r="B3" t="inlineStr">
        <is>
          <t>159819</t>
        </is>
      </c>
      <c r="C3" t="inlineStr">
        <is>
          <t>AI智能ETF</t>
        </is>
      </c>
      <c r="D3" t="n">
        <v>1.82</v>
      </c>
      <c r="E3" t="n">
        <v>-8.08</v>
      </c>
      <c r="F3" t="inlineStr">
        <is>
          <t>2026-07-19</t>
        </is>
      </c>
      <c r="G3" t="inlineStr">
        <is>
          <t>fund_etf_spot_em</t>
        </is>
      </c>
    </row>
    <row r="4">
      <c r="A4" t="inlineStr">
        <is>
          <t>2026-07-19 06:52:31</t>
        </is>
      </c>
      <c r="B4" t="inlineStr">
        <is>
          <t>002384</t>
        </is>
      </c>
      <c r="C4" t="inlineStr">
        <is>
          <t>东山精密</t>
        </is>
      </c>
      <c r="D4" t="n">
        <v>241.92</v>
      </c>
      <c r="E4" t="n">
        <v>-10</v>
      </c>
      <c r="F4" t="inlineStr">
        <is>
          <t>2026-07-17</t>
        </is>
      </c>
      <c r="G4" t="inlineStr">
        <is>
          <t>stock_zh_a_daily</t>
        </is>
      </c>
    </row>
    <row r="5">
      <c r="A5" t="inlineStr">
        <is>
          <t>2026-07-19 06:52:31</t>
        </is>
      </c>
      <c r="B5" t="inlineStr">
        <is>
          <t>002475</t>
        </is>
      </c>
      <c r="C5" t="inlineStr">
        <is>
          <t>立讯精密</t>
        </is>
      </c>
      <c r="D5" t="n">
        <v>58.05</v>
      </c>
      <c r="E5" t="n">
        <v>-5.73</v>
      </c>
      <c r="F5" t="inlineStr">
        <is>
          <t>2026-07-17</t>
        </is>
      </c>
      <c r="G5" t="inlineStr">
        <is>
          <t>stock_zh_a_daily</t>
        </is>
      </c>
    </row>
    <row r="6">
      <c r="A6" t="inlineStr">
        <is>
          <t>2026-07-19 06:52:31</t>
        </is>
      </c>
      <c r="B6" t="inlineStr">
        <is>
          <t>603228</t>
        </is>
      </c>
      <c r="C6" t="inlineStr">
        <is>
          <t>景旺电子</t>
        </is>
      </c>
      <c r="D6" t="n">
        <v>71.7</v>
      </c>
      <c r="E6" t="n">
        <v>1.29</v>
      </c>
      <c r="F6" t="inlineStr">
        <is>
          <t>2026-07-17</t>
        </is>
      </c>
      <c r="G6" t="inlineStr">
        <is>
          <t>stock_zh_a_daily</t>
        </is>
      </c>
    </row>
    <row r="7">
      <c r="A7" t="inlineStr">
        <is>
          <t>2026-07-19 06:52:31</t>
        </is>
      </c>
      <c r="B7" t="inlineStr">
        <is>
          <t>600183</t>
        </is>
      </c>
      <c r="C7" t="inlineStr">
        <is>
          <t>生益科技</t>
        </is>
      </c>
      <c r="D7" t="n">
        <v>132.29</v>
      </c>
      <c r="E7" t="n">
        <v>-10</v>
      </c>
      <c r="F7" t="inlineStr">
        <is>
          <t>2026-07-17</t>
        </is>
      </c>
      <c r="G7" t="inlineStr">
        <is>
          <t>stock_zh_a_daily</t>
        </is>
      </c>
    </row>
    <row r="8">
      <c r="A8" t="inlineStr">
        <is>
          <t>2026-07-19 06:52:31</t>
        </is>
      </c>
      <c r="B8" t="inlineStr">
        <is>
          <t>515880</t>
        </is>
      </c>
      <c r="C8" t="inlineStr">
        <is>
          <t>通信ETF</t>
        </is>
      </c>
      <c r="D8" t="n">
        <v>0.659</v>
      </c>
      <c r="E8" t="n">
        <v>-9.970000000000001</v>
      </c>
      <c r="F8" t="inlineStr">
        <is>
          <t>2026-07-19</t>
        </is>
      </c>
      <c r="G8" t="inlineStr">
        <is>
          <t>fund_etf_spot_em</t>
        </is>
      </c>
    </row>
    <row r="9">
      <c r="A9" t="inlineStr">
        <is>
          <t>2026-07-19 06:52:31</t>
        </is>
      </c>
      <c r="B9" t="inlineStr">
        <is>
          <t>600487</t>
        </is>
      </c>
      <c r="C9" t="inlineStr">
        <is>
          <t>亨通光电</t>
        </is>
      </c>
      <c r="D9" t="n">
        <v>58.39</v>
      </c>
      <c r="E9" t="n">
        <v>-9.960000000000001</v>
      </c>
      <c r="F9" t="inlineStr">
        <is>
          <t>2026-07-17</t>
        </is>
      </c>
      <c r="G9" t="inlineStr">
        <is>
          <t>stock_zh_a_daily</t>
        </is>
      </c>
    </row>
    <row r="10">
      <c r="A10" t="inlineStr">
        <is>
          <t>2026-07-19 06:52:31</t>
        </is>
      </c>
      <c r="B10" t="inlineStr">
        <is>
          <t>001359</t>
        </is>
      </c>
      <c r="C10" t="inlineStr">
        <is>
          <t>平安电工</t>
        </is>
      </c>
      <c r="D10" t="n">
        <v>96.19</v>
      </c>
      <c r="E10" t="n">
        <v>-10</v>
      </c>
      <c r="F10" t="inlineStr">
        <is>
          <t>2026-07-17</t>
        </is>
      </c>
      <c r="G10" t="inlineStr">
        <is>
          <t>stock_zh_a_daily</t>
        </is>
      </c>
    </row>
    <row r="11">
      <c r="A11" t="inlineStr">
        <is>
          <t>2026-07-19 06:52:31</t>
        </is>
      </c>
      <c r="B11" t="inlineStr">
        <is>
          <t>002156</t>
        </is>
      </c>
      <c r="C11" t="inlineStr">
        <is>
          <t>通富微电</t>
        </is>
      </c>
      <c r="D11" t="n">
        <v>68.36</v>
      </c>
      <c r="E11" t="n">
        <v>-9.99</v>
      </c>
      <c r="F11" t="inlineStr">
        <is>
          <t>2026-07-17</t>
        </is>
      </c>
      <c r="G11" t="inlineStr">
        <is>
          <t>stock_zh_a_daily</t>
        </is>
      </c>
    </row>
    <row r="12">
      <c r="A12" t="inlineStr">
        <is>
          <t>2026-07-19 06:52:31</t>
        </is>
      </c>
      <c r="B12" t="inlineStr">
        <is>
          <t>002222</t>
        </is>
      </c>
      <c r="C12" t="inlineStr">
        <is>
          <t>福晶科技</t>
        </is>
      </c>
      <c r="D12" t="n">
        <v>60.05</v>
      </c>
      <c r="E12" t="n">
        <v>-8.92</v>
      </c>
      <c r="F12" t="inlineStr">
        <is>
          <t>2026-07-17</t>
        </is>
      </c>
      <c r="G12" t="inlineStr">
        <is>
          <t>stock_zh_a_daily</t>
        </is>
      </c>
    </row>
    <row r="13">
      <c r="A13" t="inlineStr">
        <is>
          <t>2026-07-19 06:52:31</t>
        </is>
      </c>
      <c r="B13" t="inlineStr">
        <is>
          <t>510880</t>
        </is>
      </c>
      <c r="C13" t="inlineStr">
        <is>
          <t>红利ETF</t>
        </is>
      </c>
      <c r="D13" t="n">
        <v>3.135</v>
      </c>
      <c r="E13" t="n">
        <v>-0.35</v>
      </c>
      <c r="F13" t="inlineStr">
        <is>
          <t>2026-07-19</t>
        </is>
      </c>
      <c r="G13" t="inlineStr">
        <is>
          <t>fund_etf_spot_em</t>
        </is>
      </c>
    </row>
    <row r="14">
      <c r="A14" t="inlineStr">
        <is>
          <t>2026-07-19 06:52:31</t>
        </is>
      </c>
      <c r="B14" t="inlineStr">
        <is>
          <t>510300</t>
        </is>
      </c>
      <c r="C14" t="inlineStr">
        <is>
          <t>沪深300ETF</t>
        </is>
      </c>
      <c r="D14" t="n">
        <v>4.589</v>
      </c>
      <c r="E14" t="n">
        <v>-3.45</v>
      </c>
      <c r="F14" t="inlineStr">
        <is>
          <t>2026-07-19</t>
        </is>
      </c>
      <c r="G14" t="inlineStr">
        <is>
          <t>fund_etf_spot_em</t>
        </is>
      </c>
    </row>
    <row r="15">
      <c r="A15" t="inlineStr">
        <is>
          <t>2026-07-19 06:52:31</t>
        </is>
      </c>
      <c r="B15" t="inlineStr">
        <is>
          <t>000001</t>
        </is>
      </c>
      <c r="C15" t="inlineStr">
        <is>
          <t>上证指数</t>
        </is>
      </c>
      <c r="D15" t="n">
        <v>3764.155</v>
      </c>
      <c r="E15" t="n">
        <v>-3.05</v>
      </c>
      <c r="F15" t="inlineStr">
        <is>
          <t>2026-07-17</t>
        </is>
      </c>
      <c r="G15" t="inlineStr">
        <is>
          <t>stock_zh_index_daily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2026-07-19T06:50:53Z</dcterms:created>
  <dcterms:modified xmlns:dcterms="http://purl.org/dc/terms/" xmlns:xsi="http://www.w3.org/2001/XMLSchema-instance" xsi:type="dcterms:W3CDTF">2026-07-19T06:52:31Z</dcterms:modified>
</cp:coreProperties>
</file>